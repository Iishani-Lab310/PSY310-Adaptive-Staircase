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8E0E\EXCELCNV\b689e820-c412-436b-8f0c-3383a9813940\"/>
    </mc:Choice>
  </mc:AlternateContent>
  <xr:revisionPtr revIDLastSave="0" documentId="8_{D58D11F5-6AE9-465C-BD24-1992A6451B69}" xr6:coauthVersionLast="47" xr6:coauthVersionMax="47" xr10:uidLastSave="{00000000-0000-0000-0000-000000000000}"/>
  <bookViews>
    <workbookView xWindow="-60" yWindow="-60" windowWidth="15480" windowHeight="11640" firstSheet="1" xr2:uid="{4BEA0171-C482-461F-94CB-12354D5C2F5F}"/>
  </bookViews>
  <sheets>
    <sheet name="in" sheetId="1" r:id="rId1"/>
    <sheet name="JND" sheetId="2" r:id="rId2"/>
    <sheet name="Accurac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11" i="2"/>
  <c r="O111" i="1"/>
  <c r="C8" i="3"/>
  <c r="B8" i="3"/>
  <c r="G9" i="2"/>
  <c r="G8" i="2"/>
  <c r="G7" i="2"/>
  <c r="G10" i="2"/>
  <c r="D4" i="2"/>
  <c r="D5" i="2"/>
  <c r="D7" i="2"/>
  <c r="D11" i="2"/>
  <c r="D13" i="2"/>
  <c r="D45" i="2"/>
  <c r="D46" i="2"/>
  <c r="D47" i="2"/>
  <c r="D48" i="2"/>
  <c r="D51" i="2"/>
  <c r="D53" i="2"/>
  <c r="D54" i="2"/>
  <c r="D55" i="2"/>
  <c r="D57" i="2"/>
  <c r="D58" i="2"/>
  <c r="D59" i="2"/>
  <c r="D60" i="2"/>
  <c r="D61" i="2"/>
  <c r="D63" i="2"/>
  <c r="D64" i="2"/>
  <c r="D65" i="2"/>
  <c r="D67" i="2"/>
  <c r="D68" i="2"/>
  <c r="D69" i="2"/>
  <c r="D71" i="2"/>
  <c r="D73" i="2"/>
  <c r="D74" i="2"/>
  <c r="D76" i="2"/>
  <c r="D77" i="2"/>
  <c r="D78" i="2"/>
  <c r="D79" i="2"/>
  <c r="D80" i="2"/>
  <c r="D81" i="2"/>
  <c r="D82" i="2"/>
  <c r="D83" i="2"/>
  <c r="D85" i="2"/>
  <c r="D87" i="2"/>
  <c r="D89" i="2"/>
  <c r="D90" i="2"/>
  <c r="D92" i="2"/>
  <c r="D93" i="2"/>
  <c r="D94" i="2"/>
  <c r="D95" i="2"/>
  <c r="D99" i="2"/>
  <c r="D100" i="2"/>
  <c r="D101" i="2"/>
</calcChain>
</file>

<file path=xl/sharedStrings.xml><?xml version="1.0" encoding="utf-8"?>
<sst xmlns="http://schemas.openxmlformats.org/spreadsheetml/2006/main" count="666" uniqueCount="41">
  <si>
    <t>stair.thisTrialN</t>
  </si>
  <si>
    <t>stair.stepSize</t>
  </si>
  <si>
    <t>stair.intensity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</si>
  <si>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</si>
  <si>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</si>
  <si>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</si>
  <si>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</si>
  <si>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</si>
  <si>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</si>
  <si>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</si>
  <si>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</si>
  <si>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</si>
  <si>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</si>
  <si>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</si>
  <si>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</si>
  <si>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</si>
  <si>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</si>
  <si>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</si>
  <si>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</si>
  <si>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</si>
  <si>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</si>
  <si>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</si>
  <si>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</si>
  <si>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</si>
  <si>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</si>
  <si>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</si>
  <si>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left</t>
  </si>
  <si>
    <t>pilot</t>
  </si>
  <si>
    <t>2026-10-02_16h57.14.523</t>
  </si>
  <si>
    <t>adaptive_staircase</t>
  </si>
  <si>
    <t>2026.2.4</t>
  </si>
  <si>
    <t>2026-10-02 16h57.14.549792 +0530</t>
  </si>
  <si>
    <t>right</t>
  </si>
  <si>
    <t>Tilt Reversal</t>
  </si>
  <si>
    <t>Number of Correct Responses</t>
  </si>
  <si>
    <t>Accuracy Percentage (%)</t>
  </si>
  <si>
    <t>Difference Threshold (JND)</t>
  </si>
  <si>
    <t>Trial number</t>
  </si>
  <si>
    <t>Tilt intensity</t>
  </si>
  <si>
    <t>Correct response (where 1 = Correct, 0 = Incorrect)</t>
  </si>
  <si>
    <t>REVERSAL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</si>
</sst>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scheme val="minor"/>
    </font>
    <font>
      <sz val="12"/>
      <color rgb="FF000000"/>
      <name val="Calibri"/>
      <charset val="1"/>
    </font>
    <font>
      <b/>
      <sz val="11"/>
      <color rgb="FF000000"/>
      <name val="Calibri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16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19" fillId="0" borderId="0" xfId="0" applyFont="1"/>
    <xf numFmtId="0" fontId="16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Tilt of Grating Across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Series2</c:v>
          </c:tx>
          <c:spPr>
            <a:ln w="12700" cap="rnd" cmpd="sng" algn="ctr">
              <a:solidFill>
                <a:srgbClr val="8EA9D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8EA9DB"/>
              </a:solidFill>
              <a:ln w="25400">
                <a:noFill/>
              </a:ln>
              <a:effectLst/>
            </c:spPr>
          </c:marker>
          <c:val>
            <c:numRef>
              <c:f>in!$O$2:$O$101</c:f>
              <c:numCache>
                <c:formatCode>General</c:formatCode>
                <c:ptCount val="100"/>
                <c:pt idx="0">
                  <c:v>-10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-2</c:v>
                </c:pt>
                <c:pt idx="5">
                  <c:v>-1</c:v>
                </c:pt>
                <c:pt idx="6">
                  <c:v>1</c:v>
                </c:pt>
                <c:pt idx="7">
                  <c:v>-1</c:v>
                </c:pt>
                <c:pt idx="8">
                  <c:v>1</c:v>
                </c:pt>
                <c:pt idx="9">
                  <c:v>1</c:v>
                </c:pt>
                <c:pt idx="10">
                  <c:v>-1</c:v>
                </c:pt>
                <c:pt idx="11">
                  <c:v>-1</c:v>
                </c:pt>
                <c:pt idx="12">
                  <c:v>1</c:v>
                </c:pt>
                <c:pt idx="13">
                  <c:v>-1</c:v>
                </c:pt>
                <c:pt idx="14">
                  <c:v>-1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-2</c:v>
                </c:pt>
                <c:pt idx="19">
                  <c:v>2</c:v>
                </c:pt>
                <c:pt idx="20">
                  <c:v>-2</c:v>
                </c:pt>
                <c:pt idx="21">
                  <c:v>1</c:v>
                </c:pt>
                <c:pt idx="22">
                  <c:v>-1</c:v>
                </c:pt>
                <c:pt idx="23">
                  <c:v>1</c:v>
                </c:pt>
                <c:pt idx="24">
                  <c:v>-1.5</c:v>
                </c:pt>
                <c:pt idx="25">
                  <c:v>-1.5</c:v>
                </c:pt>
                <c:pt idx="26">
                  <c:v>1.5</c:v>
                </c:pt>
                <c:pt idx="27">
                  <c:v>2</c:v>
                </c:pt>
                <c:pt idx="28">
                  <c:v>2</c:v>
                </c:pt>
                <c:pt idx="29">
                  <c:v>-2.5</c:v>
                </c:pt>
                <c:pt idx="30">
                  <c:v>-3</c:v>
                </c:pt>
                <c:pt idx="31">
                  <c:v>3</c:v>
                </c:pt>
                <c:pt idx="32">
                  <c:v>-3</c:v>
                </c:pt>
                <c:pt idx="33">
                  <c:v>2.5</c:v>
                </c:pt>
                <c:pt idx="34">
                  <c:v>-2.5</c:v>
                </c:pt>
                <c:pt idx="35">
                  <c:v>-2.5</c:v>
                </c:pt>
                <c:pt idx="36">
                  <c:v>2</c:v>
                </c:pt>
                <c:pt idx="37">
                  <c:v>2</c:v>
                </c:pt>
                <c:pt idx="38">
                  <c:v>-2</c:v>
                </c:pt>
                <c:pt idx="39">
                  <c:v>-2.5</c:v>
                </c:pt>
                <c:pt idx="40">
                  <c:v>-3</c:v>
                </c:pt>
                <c:pt idx="41">
                  <c:v>3</c:v>
                </c:pt>
                <c:pt idx="42">
                  <c:v>3</c:v>
                </c:pt>
                <c:pt idx="43">
                  <c:v>3.5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-4.5</c:v>
                </c:pt>
                <c:pt idx="48">
                  <c:v>4.5</c:v>
                </c:pt>
                <c:pt idx="49">
                  <c:v>4.5</c:v>
                </c:pt>
                <c:pt idx="50">
                  <c:v>4</c:v>
                </c:pt>
                <c:pt idx="51">
                  <c:v>-4</c:v>
                </c:pt>
                <c:pt idx="52">
                  <c:v>-4.5</c:v>
                </c:pt>
                <c:pt idx="53">
                  <c:v>-4.5</c:v>
                </c:pt>
                <c:pt idx="54">
                  <c:v>4.5</c:v>
                </c:pt>
                <c:pt idx="55">
                  <c:v>4</c:v>
                </c:pt>
                <c:pt idx="56">
                  <c:v>4</c:v>
                </c:pt>
                <c:pt idx="57">
                  <c:v>-4</c:v>
                </c:pt>
                <c:pt idx="58">
                  <c:v>-4.5</c:v>
                </c:pt>
                <c:pt idx="59">
                  <c:v>-4.5</c:v>
                </c:pt>
                <c:pt idx="60">
                  <c:v>4.5</c:v>
                </c:pt>
                <c:pt idx="61">
                  <c:v>-4</c:v>
                </c:pt>
                <c:pt idx="62">
                  <c:v>-4</c:v>
                </c:pt>
                <c:pt idx="63">
                  <c:v>-4</c:v>
                </c:pt>
                <c:pt idx="64">
                  <c:v>3.5</c:v>
                </c:pt>
                <c:pt idx="65">
                  <c:v>3.5</c:v>
                </c:pt>
                <c:pt idx="66">
                  <c:v>3.5</c:v>
                </c:pt>
                <c:pt idx="67">
                  <c:v>-3</c:v>
                </c:pt>
                <c:pt idx="68">
                  <c:v>3</c:v>
                </c:pt>
                <c:pt idx="69">
                  <c:v>-3</c:v>
                </c:pt>
                <c:pt idx="70">
                  <c:v>2.5</c:v>
                </c:pt>
                <c:pt idx="71">
                  <c:v>-2.5</c:v>
                </c:pt>
                <c:pt idx="72">
                  <c:v>-2.5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1</c:v>
                </c:pt>
                <c:pt idx="83">
                  <c:v>-1.5</c:v>
                </c:pt>
                <c:pt idx="84">
                  <c:v>1.5</c:v>
                </c:pt>
                <c:pt idx="85">
                  <c:v>-2</c:v>
                </c:pt>
                <c:pt idx="86">
                  <c:v>2</c:v>
                </c:pt>
                <c:pt idx="87">
                  <c:v>-2</c:v>
                </c:pt>
                <c:pt idx="88">
                  <c:v>-2.5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2.5</c:v>
                </c:pt>
                <c:pt idx="93">
                  <c:v>2.5</c:v>
                </c:pt>
                <c:pt idx="94">
                  <c:v>3</c:v>
                </c:pt>
                <c:pt idx="95">
                  <c:v>-3</c:v>
                </c:pt>
                <c:pt idx="96">
                  <c:v>3.5</c:v>
                </c:pt>
                <c:pt idx="97">
                  <c:v>3.5</c:v>
                </c:pt>
                <c:pt idx="98">
                  <c:v>3.5</c:v>
                </c:pt>
                <c:pt idx="9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75-4EAA-BB54-A49A05724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7934600"/>
        <c:axId val="837941256"/>
      </c:lineChart>
      <c:catAx>
        <c:axId val="837934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0CECE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41256"/>
        <c:crosses val="autoZero"/>
        <c:auto val="1"/>
        <c:lblAlgn val="ctr"/>
        <c:lblOffset val="100"/>
        <c:noMultiLvlLbl val="0"/>
      </c:catAx>
      <c:valAx>
        <c:axId val="837941256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Tilt- = Left Tilt, + = Right Tilt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934600"/>
        <c:crosses val="autoZero"/>
        <c:crossBetween val="between"/>
        <c:majorUnit val="2"/>
        <c:minorUnit val="0.4"/>
      </c:valAx>
      <c:spPr>
        <a:noFill/>
        <a:ln>
          <a:noFill/>
        </a:ln>
        <a:effectLst/>
      </c:spPr>
    </c:plotArea>
    <c:plotVisOnly val="0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Accuracy over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in!$P$1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 cmpd="sng" algn="ctr">
              <a:solidFill>
                <a:srgbClr val="FFC000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25400">
                <a:noFill/>
              </a:ln>
              <a:effectLst/>
            </c:spPr>
          </c:marker>
          <c:val>
            <c:numRef>
              <c:f>in!$P$2:$P$101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96-4282-92AB-EB7475922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3692808"/>
        <c:axId val="711656456"/>
      </c:lineChart>
      <c:catAx>
        <c:axId val="703692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656456"/>
        <c:crosses val="autoZero"/>
        <c:auto val="1"/>
        <c:lblAlgn val="ctr"/>
        <c:lblOffset val="100"/>
        <c:noMultiLvlLbl val="0"/>
      </c:catAx>
      <c:valAx>
        <c:axId val="711656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Accuracy: Correct-1, Incorrect-0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692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105</xdr:row>
      <xdr:rowOff>171450</xdr:rowOff>
    </xdr:from>
    <xdr:to>
      <xdr:col>12</xdr:col>
      <xdr:colOff>533400</xdr:colOff>
      <xdr:row>123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1AF015-4C6B-4FAE-65F0-80EB7B43B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752475</xdr:colOff>
      <xdr:row>123</xdr:row>
      <xdr:rowOff>180975</xdr:rowOff>
    </xdr:from>
    <xdr:to>
      <xdr:col>12</xdr:col>
      <xdr:colOff>219075</xdr:colOff>
      <xdr:row>136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E26B11-0320-4A80-0B1B-35A48C17304D}"/>
            </a:ext>
            <a:ext uri="{147F2762-F138-4A5C-976F-8EAC2B608ADB}">
              <a16:predDERef xmlns:a16="http://schemas.microsoft.com/office/drawing/2014/main" pred="{811AF015-4C6B-4FAE-65F0-80EB7B43BB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9A45-8B67-4A5A-9CA9-74958E4DF8A0}">
  <dimension ref="A1:Z111"/>
  <sheetViews>
    <sheetView tabSelected="1" topLeftCell="E118" workbookViewId="0">
      <selection activeCell="G130" sqref="G130"/>
    </sheetView>
  </sheetViews>
  <sheetFormatPr defaultRowHeight="15"/>
  <cols>
    <col min="1" max="1" width="15.42578125" style="1" customWidth="1"/>
    <col min="2" max="2" width="14.85546875" style="1" customWidth="1"/>
    <col min="3" max="3" width="14.7109375" style="1" customWidth="1"/>
    <col min="4" max="4" width="15.7109375" style="1" customWidth="1"/>
    <col min="5" max="5" width="8.85546875" style="1" customWidth="1"/>
    <col min="6" max="6" width="9.140625" style="1"/>
    <col min="7" max="7" width="17.140625" style="1" customWidth="1"/>
    <col min="8" max="8" width="17.28515625" style="1" customWidth="1"/>
    <col min="9" max="9" width="18" style="1" customWidth="1"/>
    <col min="10" max="10" width="19.28515625" style="1" customWidth="1"/>
    <col min="11" max="11" width="20.140625" style="1" customWidth="1"/>
    <col min="12" max="12" width="23.5703125" style="1" customWidth="1"/>
    <col min="13" max="13" width="19.140625" style="1" customWidth="1"/>
    <col min="14" max="14" width="25.140625" style="1" customWidth="1"/>
    <col min="15" max="15" width="14.5703125" style="1" customWidth="1"/>
    <col min="16" max="16" width="15.28515625" style="1" customWidth="1"/>
    <col min="17" max="17" width="24.140625" style="1" customWidth="1"/>
    <col min="18" max="18" width="16.42578125" style="1" customWidth="1"/>
    <col min="19" max="19" width="15.140625" style="1" customWidth="1"/>
    <col min="20" max="20" width="9.7109375" style="1" customWidth="1"/>
    <col min="21" max="21" width="9.42578125" style="3" customWidth="1"/>
    <col min="22" max="22" width="19.28515625" style="1" customWidth="1"/>
    <col min="23" max="23" width="10.5703125" style="1" customWidth="1"/>
    <col min="24" max="24" width="10" style="1" customWidth="1"/>
    <col min="25" max="25" width="14.42578125" style="1" customWidth="1"/>
    <col min="26" max="26" width="12.5703125" style="1" customWidth="1"/>
    <col min="27" max="16384" width="9.140625" style="1"/>
  </cols>
  <sheetData>
    <row r="1" spans="1:26" s="2" customFormat="1" ht="3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>
        <v>0</v>
      </c>
      <c r="B2" s="1">
        <v>2</v>
      </c>
      <c r="C2" s="1">
        <v>10</v>
      </c>
      <c r="D2" s="1">
        <v>2.78837083606049E-2</v>
      </c>
      <c r="F2" s="1" t="b">
        <v>1</v>
      </c>
      <c r="G2" s="1">
        <v>1.9020541687496E-2</v>
      </c>
      <c r="H2" s="1">
        <v>2.78837083606049E-2</v>
      </c>
      <c r="I2" s="1">
        <v>0.51236145838629399</v>
      </c>
      <c r="J2" s="1">
        <v>0.51236145838629399</v>
      </c>
      <c r="K2" s="1">
        <v>0.53083166666328896</v>
      </c>
      <c r="L2" s="1">
        <v>0.81314104166813195</v>
      </c>
      <c r="M2" s="1">
        <v>5.4568497916916296</v>
      </c>
      <c r="N2" s="1" t="s">
        <v>26</v>
      </c>
      <c r="O2" s="1">
        <v>-10</v>
      </c>
      <c r="P2" s="1">
        <v>1</v>
      </c>
      <c r="Q2" s="1">
        <v>1</v>
      </c>
      <c r="R2" s="1">
        <v>4.9157837083330298</v>
      </c>
      <c r="S2" s="1" t="s">
        <v>27</v>
      </c>
      <c r="T2" s="1">
        <v>1</v>
      </c>
      <c r="U2" s="3" t="s">
        <v>28</v>
      </c>
      <c r="V2" s="1" t="s">
        <v>29</v>
      </c>
      <c r="X2" s="1" t="s">
        <v>30</v>
      </c>
      <c r="Y2" s="1">
        <v>59.941018021787997</v>
      </c>
      <c r="Z2" s="1" t="s">
        <v>31</v>
      </c>
    </row>
    <row r="3" spans="1:26">
      <c r="A3" s="1">
        <v>1</v>
      </c>
      <c r="B3" s="1">
        <v>2</v>
      </c>
      <c r="C3" s="1">
        <v>8</v>
      </c>
      <c r="D3" s="1">
        <v>5.4791050833882702</v>
      </c>
      <c r="G3" s="1">
        <v>5.4569851667620197</v>
      </c>
      <c r="H3" s="1">
        <v>5.4791050833882702</v>
      </c>
      <c r="I3" s="1">
        <v>5.9634082500124297</v>
      </c>
      <c r="J3" s="1">
        <v>5.9634082500124297</v>
      </c>
      <c r="K3" s="1">
        <v>5.9802054166793797</v>
      </c>
      <c r="L3" s="1">
        <v>6.2635427917120898</v>
      </c>
      <c r="M3" s="1">
        <v>7.0995791250606999</v>
      </c>
      <c r="N3" s="1" t="s">
        <v>32</v>
      </c>
      <c r="O3" s="1">
        <v>8</v>
      </c>
      <c r="P3" s="1">
        <v>1</v>
      </c>
      <c r="Q3" s="1">
        <v>1</v>
      </c>
      <c r="R3" s="1">
        <v>1.1286490416387001</v>
      </c>
      <c r="S3" s="1" t="s">
        <v>27</v>
      </c>
      <c r="T3" s="1">
        <v>1</v>
      </c>
      <c r="U3" s="3" t="s">
        <v>28</v>
      </c>
      <c r="V3" s="1" t="s">
        <v>29</v>
      </c>
      <c r="X3" s="1" t="s">
        <v>30</v>
      </c>
      <c r="Y3" s="1">
        <v>59.941018021787997</v>
      </c>
      <c r="Z3" s="1" t="s">
        <v>31</v>
      </c>
    </row>
    <row r="4" spans="1:26">
      <c r="A4" s="1">
        <v>2</v>
      </c>
      <c r="B4" s="1">
        <v>2</v>
      </c>
      <c r="C4" s="1">
        <v>6</v>
      </c>
      <c r="D4" s="1">
        <v>7.1134988750563899</v>
      </c>
      <c r="G4" s="1">
        <v>7.0997600833652497</v>
      </c>
      <c r="H4" s="1">
        <v>7.1134988750563899</v>
      </c>
      <c r="I4" s="1">
        <v>7.6136358750518403</v>
      </c>
      <c r="J4" s="1">
        <v>7.6136358750518403</v>
      </c>
      <c r="K4" s="1">
        <v>7.6136358750518403</v>
      </c>
      <c r="L4" s="1">
        <v>7.9136828749906201</v>
      </c>
      <c r="M4" s="1">
        <v>8.7722136666998196</v>
      </c>
      <c r="N4" s="1" t="s">
        <v>32</v>
      </c>
      <c r="O4" s="1">
        <v>6</v>
      </c>
      <c r="P4" s="1">
        <v>1</v>
      </c>
      <c r="Q4" s="1">
        <v>1</v>
      </c>
      <c r="R4" s="1">
        <v>1.1402661667670999</v>
      </c>
      <c r="S4" s="1" t="s">
        <v>27</v>
      </c>
      <c r="T4" s="1">
        <v>1</v>
      </c>
      <c r="U4" s="3" t="s">
        <v>28</v>
      </c>
      <c r="V4" s="1" t="s">
        <v>29</v>
      </c>
      <c r="X4" s="1" t="s">
        <v>30</v>
      </c>
      <c r="Y4" s="1">
        <v>59.941018021787997</v>
      </c>
      <c r="Z4" s="1" t="s">
        <v>31</v>
      </c>
    </row>
    <row r="5" spans="1:26">
      <c r="A5" s="1">
        <v>3</v>
      </c>
      <c r="B5" s="1">
        <v>2</v>
      </c>
      <c r="C5" s="1">
        <v>4</v>
      </c>
      <c r="D5" s="1">
        <v>8.7796262083575094</v>
      </c>
      <c r="G5" s="1">
        <v>8.7724051250843296</v>
      </c>
      <c r="H5" s="1">
        <v>8.7796262083575094</v>
      </c>
      <c r="I5" s="1">
        <v>9.2802231666864792</v>
      </c>
      <c r="J5" s="1">
        <v>9.2802231666864792</v>
      </c>
      <c r="K5" s="1">
        <v>9.2802231666864792</v>
      </c>
      <c r="L5" s="1">
        <v>9.5802047500619594</v>
      </c>
      <c r="M5" s="1">
        <v>9.9516446250490809</v>
      </c>
      <c r="N5" s="1" t="s">
        <v>32</v>
      </c>
      <c r="O5" s="1">
        <v>4</v>
      </c>
      <c r="P5" s="1">
        <v>1</v>
      </c>
      <c r="Q5" s="1">
        <v>1</v>
      </c>
      <c r="R5" s="1">
        <v>0.66371183330193095</v>
      </c>
      <c r="S5" s="1" t="s">
        <v>27</v>
      </c>
      <c r="T5" s="1">
        <v>1</v>
      </c>
      <c r="U5" s="3" t="s">
        <v>28</v>
      </c>
      <c r="V5" s="1" t="s">
        <v>29</v>
      </c>
      <c r="X5" s="1" t="s">
        <v>30</v>
      </c>
      <c r="Y5" s="1">
        <v>59.941018021787997</v>
      </c>
      <c r="Z5" s="1" t="s">
        <v>31</v>
      </c>
    </row>
    <row r="6" spans="1:26">
      <c r="A6" s="1">
        <v>4</v>
      </c>
      <c r="B6" s="1">
        <v>2</v>
      </c>
      <c r="C6" s="1">
        <v>2</v>
      </c>
      <c r="D6" s="1">
        <v>9.9631784583907503</v>
      </c>
      <c r="G6" s="1">
        <v>9.9518439166713506</v>
      </c>
      <c r="H6" s="1">
        <v>9.9631784583907503</v>
      </c>
      <c r="I6" s="1">
        <v>10.463511208421499</v>
      </c>
      <c r="J6" s="1">
        <v>10.463511208421499</v>
      </c>
      <c r="K6" s="1">
        <v>10.463511208421499</v>
      </c>
      <c r="L6" s="1">
        <v>10.7636726667406</v>
      </c>
      <c r="M6" s="1">
        <v>11.152466666651801</v>
      </c>
      <c r="N6" s="1" t="s">
        <v>26</v>
      </c>
      <c r="O6" s="1">
        <v>-2</v>
      </c>
      <c r="P6" s="1">
        <v>1</v>
      </c>
      <c r="Q6" s="1">
        <v>1</v>
      </c>
      <c r="R6" s="1">
        <v>0.67850262508727599</v>
      </c>
      <c r="S6" s="1" t="s">
        <v>27</v>
      </c>
      <c r="T6" s="1">
        <v>1</v>
      </c>
      <c r="U6" s="3" t="s">
        <v>28</v>
      </c>
      <c r="V6" s="1" t="s">
        <v>29</v>
      </c>
      <c r="X6" s="1" t="s">
        <v>30</v>
      </c>
      <c r="Y6" s="1">
        <v>59.941018021787997</v>
      </c>
      <c r="Z6" s="1" t="s">
        <v>31</v>
      </c>
    </row>
    <row r="7" spans="1:26">
      <c r="A7" s="1">
        <v>5</v>
      </c>
      <c r="B7" s="1">
        <v>2</v>
      </c>
      <c r="C7" s="1">
        <v>1</v>
      </c>
      <c r="D7" s="1">
        <v>11.1632485000882</v>
      </c>
      <c r="G7" s="1">
        <v>11.1526586667168</v>
      </c>
      <c r="H7" s="1">
        <v>11.1632485000882</v>
      </c>
      <c r="I7" s="1">
        <v>11.6634413333376</v>
      </c>
      <c r="J7" s="1">
        <v>11.6634413333376</v>
      </c>
      <c r="K7" s="1">
        <v>11.6634413333376</v>
      </c>
      <c r="L7" s="1">
        <v>11.963599416660101</v>
      </c>
      <c r="M7" s="1">
        <v>12.3183820833219</v>
      </c>
      <c r="N7" s="1" t="s">
        <v>26</v>
      </c>
      <c r="O7" s="1">
        <v>-1</v>
      </c>
      <c r="P7" s="1">
        <v>1</v>
      </c>
      <c r="Q7" s="1">
        <v>1</v>
      </c>
      <c r="R7" s="1">
        <v>0.64953245839569695</v>
      </c>
      <c r="S7" s="1" t="s">
        <v>27</v>
      </c>
      <c r="T7" s="1">
        <v>1</v>
      </c>
      <c r="U7" s="3" t="s">
        <v>28</v>
      </c>
      <c r="V7" s="1" t="s">
        <v>29</v>
      </c>
      <c r="X7" s="1" t="s">
        <v>30</v>
      </c>
      <c r="Y7" s="1">
        <v>59.941018021787997</v>
      </c>
      <c r="Z7" s="1" t="s">
        <v>31</v>
      </c>
    </row>
    <row r="8" spans="1:26">
      <c r="A8" s="1">
        <v>6</v>
      </c>
      <c r="B8" s="1">
        <v>2</v>
      </c>
      <c r="C8" s="1">
        <v>1</v>
      </c>
      <c r="D8" s="1">
        <v>12.3298846667166</v>
      </c>
      <c r="G8" s="1">
        <v>12.318572166725</v>
      </c>
      <c r="H8" s="1">
        <v>12.3298846667166</v>
      </c>
      <c r="I8" s="1">
        <v>12.8302830833708</v>
      </c>
      <c r="J8" s="1">
        <v>12.8302830833708</v>
      </c>
      <c r="K8" s="1">
        <v>12.8302830833708</v>
      </c>
      <c r="L8" s="1">
        <v>13.130259833415</v>
      </c>
      <c r="M8" s="1">
        <v>13.699557916726899</v>
      </c>
      <c r="N8" s="1" t="s">
        <v>32</v>
      </c>
      <c r="O8" s="1">
        <v>1</v>
      </c>
      <c r="P8" s="1">
        <v>1</v>
      </c>
      <c r="Q8" s="1">
        <v>1</v>
      </c>
      <c r="R8" s="1">
        <v>0.86356033338233795</v>
      </c>
      <c r="S8" s="1" t="s">
        <v>27</v>
      </c>
      <c r="T8" s="1">
        <v>1</v>
      </c>
      <c r="U8" s="3" t="s">
        <v>28</v>
      </c>
      <c r="V8" s="1" t="s">
        <v>29</v>
      </c>
      <c r="X8" s="1" t="s">
        <v>30</v>
      </c>
      <c r="Y8" s="1">
        <v>59.941018021787997</v>
      </c>
      <c r="Z8" s="1" t="s">
        <v>31</v>
      </c>
    </row>
    <row r="9" spans="1:26">
      <c r="A9" s="1">
        <v>7</v>
      </c>
      <c r="B9" s="1">
        <v>2</v>
      </c>
      <c r="C9" s="1">
        <v>1</v>
      </c>
      <c r="D9" s="1">
        <v>13.713648666744101</v>
      </c>
      <c r="G9" s="1">
        <v>13.699743916746201</v>
      </c>
      <c r="H9" s="1">
        <v>13.713648666744101</v>
      </c>
      <c r="I9" s="1">
        <v>14.2137936250073</v>
      </c>
      <c r="J9" s="1">
        <v>14.2137936250073</v>
      </c>
      <c r="K9" s="1">
        <v>14.2137936250073</v>
      </c>
      <c r="L9" s="1">
        <v>14.513866583351</v>
      </c>
      <c r="M9" s="1">
        <v>14.7851782500511</v>
      </c>
      <c r="N9" s="1" t="s">
        <v>26</v>
      </c>
      <c r="O9" s="1">
        <v>-1</v>
      </c>
      <c r="P9" s="1">
        <v>1</v>
      </c>
      <c r="Q9" s="1">
        <v>1</v>
      </c>
      <c r="R9" s="1">
        <v>0.56003554165363301</v>
      </c>
      <c r="S9" s="1" t="s">
        <v>27</v>
      </c>
      <c r="T9" s="1">
        <v>1</v>
      </c>
      <c r="U9" s="3" t="s">
        <v>28</v>
      </c>
      <c r="V9" s="1" t="s">
        <v>29</v>
      </c>
      <c r="X9" s="1" t="s">
        <v>30</v>
      </c>
      <c r="Y9" s="1">
        <v>59.941018021787997</v>
      </c>
      <c r="Z9" s="1" t="s">
        <v>31</v>
      </c>
    </row>
    <row r="10" spans="1:26">
      <c r="A10" s="1">
        <v>8</v>
      </c>
      <c r="B10" s="1">
        <v>2</v>
      </c>
      <c r="C10" s="1">
        <v>1</v>
      </c>
      <c r="D10" s="1">
        <v>14.7968744167592</v>
      </c>
      <c r="G10" s="1">
        <v>14.785362416761901</v>
      </c>
      <c r="H10" s="1">
        <v>14.7968744167592</v>
      </c>
      <c r="I10" s="1">
        <v>15.2968402083497</v>
      </c>
      <c r="J10" s="1">
        <v>15.2968402083497</v>
      </c>
      <c r="K10" s="1">
        <v>15.2968402083497</v>
      </c>
      <c r="L10" s="1">
        <v>15.5969307917403</v>
      </c>
      <c r="M10" s="1">
        <v>15.900667666690399</v>
      </c>
      <c r="N10" s="1" t="s">
        <v>32</v>
      </c>
      <c r="O10" s="1">
        <v>1</v>
      </c>
      <c r="P10" s="1">
        <v>1</v>
      </c>
      <c r="Q10" s="1">
        <v>1</v>
      </c>
      <c r="R10" s="1">
        <v>0.59852720831986495</v>
      </c>
      <c r="S10" s="1" t="s">
        <v>27</v>
      </c>
      <c r="T10" s="1">
        <v>1</v>
      </c>
      <c r="U10" s="3" t="s">
        <v>28</v>
      </c>
      <c r="V10" s="1" t="s">
        <v>29</v>
      </c>
      <c r="X10" s="1" t="s">
        <v>30</v>
      </c>
      <c r="Y10" s="1">
        <v>59.941018021787997</v>
      </c>
      <c r="Z10" s="1" t="s">
        <v>31</v>
      </c>
    </row>
    <row r="11" spans="1:26">
      <c r="A11" s="1">
        <v>9</v>
      </c>
      <c r="B11" s="1">
        <v>2</v>
      </c>
      <c r="C11" s="1">
        <v>1</v>
      </c>
      <c r="D11" s="1">
        <v>15.913512083352501</v>
      </c>
      <c r="G11" s="1">
        <v>15.9008375416742</v>
      </c>
      <c r="H11" s="1">
        <v>15.913512083352501</v>
      </c>
      <c r="I11" s="1">
        <v>16.4136507500661</v>
      </c>
      <c r="J11" s="1">
        <v>16.4136507500661</v>
      </c>
      <c r="K11" s="1">
        <v>16.4136507500661</v>
      </c>
      <c r="L11" s="1">
        <v>16.713529750006199</v>
      </c>
      <c r="M11" s="1">
        <v>17.134980208356801</v>
      </c>
      <c r="N11" s="1" t="s">
        <v>32</v>
      </c>
      <c r="O11" s="1">
        <v>1</v>
      </c>
      <c r="P11" s="1">
        <v>1</v>
      </c>
      <c r="Q11" s="1">
        <v>1</v>
      </c>
      <c r="R11" s="1">
        <v>0.71324191673193105</v>
      </c>
      <c r="S11" s="1" t="s">
        <v>27</v>
      </c>
      <c r="T11" s="1">
        <v>1</v>
      </c>
      <c r="U11" s="3" t="s">
        <v>28</v>
      </c>
      <c r="V11" s="1" t="s">
        <v>29</v>
      </c>
      <c r="X11" s="1" t="s">
        <v>30</v>
      </c>
      <c r="Y11" s="1">
        <v>59.941018021787997</v>
      </c>
      <c r="Z11" s="1" t="s">
        <v>31</v>
      </c>
    </row>
    <row r="12" spans="1:26">
      <c r="A12" s="1">
        <v>10</v>
      </c>
      <c r="B12" s="1">
        <v>2</v>
      </c>
      <c r="C12" s="1">
        <v>1</v>
      </c>
      <c r="D12" s="1">
        <v>17.146589000010799</v>
      </c>
      <c r="G12" s="1">
        <v>17.135151166701601</v>
      </c>
      <c r="H12" s="1">
        <v>17.146589000010799</v>
      </c>
      <c r="I12" s="1">
        <v>17.647004458354701</v>
      </c>
      <c r="J12" s="1">
        <v>17.647004458354701</v>
      </c>
      <c r="K12" s="1">
        <v>17.647004458354701</v>
      </c>
      <c r="L12" s="1">
        <v>17.947084499988701</v>
      </c>
      <c r="M12" s="1">
        <v>18.135483416728601</v>
      </c>
      <c r="N12" s="1" t="s">
        <v>26</v>
      </c>
      <c r="O12" s="1">
        <v>-1</v>
      </c>
      <c r="P12" s="1">
        <v>1</v>
      </c>
      <c r="Q12" s="1">
        <v>1</v>
      </c>
      <c r="R12" s="1">
        <v>0.47374762489925998</v>
      </c>
      <c r="S12" s="1" t="s">
        <v>27</v>
      </c>
      <c r="T12" s="1">
        <v>1</v>
      </c>
      <c r="U12" s="3" t="s">
        <v>28</v>
      </c>
      <c r="V12" s="1" t="s">
        <v>29</v>
      </c>
      <c r="X12" s="1" t="s">
        <v>30</v>
      </c>
      <c r="Y12" s="1">
        <v>59.941018021787997</v>
      </c>
      <c r="Z12" s="1" t="s">
        <v>31</v>
      </c>
    </row>
    <row r="13" spans="1:26">
      <c r="A13" s="1">
        <v>11</v>
      </c>
      <c r="B13" s="1">
        <v>2</v>
      </c>
      <c r="C13" s="1">
        <v>1</v>
      </c>
      <c r="D13" s="1">
        <v>18.146913458360299</v>
      </c>
      <c r="G13" s="1">
        <v>18.135657708393399</v>
      </c>
      <c r="H13" s="1">
        <v>18.146913458360299</v>
      </c>
      <c r="I13" s="1">
        <v>18.6468847916694</v>
      </c>
      <c r="J13" s="1">
        <v>18.6468847916694</v>
      </c>
      <c r="K13" s="1">
        <v>18.6468847916694</v>
      </c>
      <c r="L13" s="1">
        <v>18.947019458399101</v>
      </c>
      <c r="M13" s="1">
        <v>19.2012299583293</v>
      </c>
      <c r="N13" s="1" t="s">
        <v>26</v>
      </c>
      <c r="O13" s="1">
        <v>-1</v>
      </c>
      <c r="P13" s="1">
        <v>1</v>
      </c>
      <c r="Q13" s="1">
        <v>1</v>
      </c>
      <c r="R13" s="1">
        <v>0.54983675002586097</v>
      </c>
      <c r="S13" s="1" t="s">
        <v>27</v>
      </c>
      <c r="T13" s="1">
        <v>1</v>
      </c>
      <c r="U13" s="3" t="s">
        <v>28</v>
      </c>
      <c r="V13" s="1" t="s">
        <v>29</v>
      </c>
      <c r="X13" s="1" t="s">
        <v>30</v>
      </c>
      <c r="Y13" s="1">
        <v>59.941018021787997</v>
      </c>
      <c r="Z13" s="1" t="s">
        <v>31</v>
      </c>
    </row>
    <row r="14" spans="1:26">
      <c r="A14" s="1">
        <v>12</v>
      </c>
      <c r="B14" s="1">
        <v>2</v>
      </c>
      <c r="C14" s="1">
        <v>1</v>
      </c>
      <c r="D14" s="1">
        <v>19.213256958406401</v>
      </c>
      <c r="G14" s="1">
        <v>19.201405041734599</v>
      </c>
      <c r="H14" s="1">
        <v>19.213256958406401</v>
      </c>
      <c r="I14" s="1">
        <v>19.7134594583185</v>
      </c>
      <c r="J14" s="1">
        <v>19.7134594583185</v>
      </c>
      <c r="K14" s="1">
        <v>19.7134594583185</v>
      </c>
      <c r="L14" s="1">
        <v>20.013630416709901</v>
      </c>
      <c r="M14" s="1">
        <v>20.418505916721099</v>
      </c>
      <c r="N14" s="1" t="s">
        <v>32</v>
      </c>
      <c r="O14" s="1">
        <v>1</v>
      </c>
      <c r="P14" s="1">
        <v>1</v>
      </c>
      <c r="Q14" s="1">
        <v>1</v>
      </c>
      <c r="R14" s="1">
        <v>0.69323429174255502</v>
      </c>
      <c r="S14" s="1" t="s">
        <v>27</v>
      </c>
      <c r="T14" s="1">
        <v>1</v>
      </c>
      <c r="U14" s="3" t="s">
        <v>28</v>
      </c>
      <c r="V14" s="1" t="s">
        <v>29</v>
      </c>
      <c r="X14" s="1" t="s">
        <v>30</v>
      </c>
      <c r="Y14" s="1">
        <v>59.941018021787997</v>
      </c>
      <c r="Z14" s="1" t="s">
        <v>31</v>
      </c>
    </row>
    <row r="15" spans="1:26">
      <c r="A15" s="1">
        <v>13</v>
      </c>
      <c r="B15" s="1">
        <v>2</v>
      </c>
      <c r="C15" s="1">
        <v>1</v>
      </c>
      <c r="D15" s="1">
        <v>20.430228791665201</v>
      </c>
      <c r="G15" s="1">
        <v>20.418674250016899</v>
      </c>
      <c r="H15" s="1">
        <v>20.430228791665201</v>
      </c>
      <c r="I15" s="1">
        <v>20.930379166733399</v>
      </c>
      <c r="J15" s="1">
        <v>20.930379166733399</v>
      </c>
      <c r="K15" s="1">
        <v>20.930379166733399</v>
      </c>
      <c r="L15" s="1">
        <v>21.2303102917503</v>
      </c>
      <c r="M15" s="1">
        <v>21.520282208337399</v>
      </c>
      <c r="N15" s="1" t="s">
        <v>26</v>
      </c>
      <c r="O15" s="1">
        <v>-1</v>
      </c>
      <c r="P15" s="1">
        <v>1</v>
      </c>
      <c r="Q15" s="1">
        <v>1</v>
      </c>
      <c r="R15" s="1">
        <v>0.57032579171936904</v>
      </c>
      <c r="S15" s="1" t="s">
        <v>27</v>
      </c>
      <c r="T15" s="1">
        <v>1</v>
      </c>
      <c r="U15" s="3" t="s">
        <v>28</v>
      </c>
      <c r="V15" s="1" t="s">
        <v>29</v>
      </c>
      <c r="X15" s="1" t="s">
        <v>30</v>
      </c>
      <c r="Y15" s="1">
        <v>59.941018021787997</v>
      </c>
      <c r="Z15" s="1" t="s">
        <v>31</v>
      </c>
    </row>
    <row r="16" spans="1:26">
      <c r="A16" s="1">
        <v>14</v>
      </c>
      <c r="B16" s="1">
        <v>2</v>
      </c>
      <c r="C16" s="1">
        <v>1</v>
      </c>
      <c r="D16" s="1">
        <v>21.529808750026799</v>
      </c>
      <c r="G16" s="1">
        <v>21.520472125033798</v>
      </c>
      <c r="H16" s="1">
        <v>21.529808750026799</v>
      </c>
      <c r="I16" s="1">
        <v>22.030378375085998</v>
      </c>
      <c r="J16" s="1">
        <v>22.030378375085998</v>
      </c>
      <c r="K16" s="1">
        <v>22.030378375085998</v>
      </c>
      <c r="L16" s="1">
        <v>22.330336041748499</v>
      </c>
      <c r="M16" s="1">
        <v>22.601605083327701</v>
      </c>
      <c r="N16" s="1" t="s">
        <v>26</v>
      </c>
      <c r="O16" s="1">
        <v>-1</v>
      </c>
      <c r="P16" s="1">
        <v>1</v>
      </c>
      <c r="Q16" s="1">
        <v>1</v>
      </c>
      <c r="R16" s="1">
        <v>0.55669095832854498</v>
      </c>
      <c r="S16" s="1" t="s">
        <v>27</v>
      </c>
      <c r="T16" s="1">
        <v>1</v>
      </c>
      <c r="U16" s="3" t="s">
        <v>28</v>
      </c>
      <c r="V16" s="1" t="s">
        <v>29</v>
      </c>
      <c r="X16" s="1" t="s">
        <v>30</v>
      </c>
      <c r="Y16" s="1">
        <v>59.941018021787997</v>
      </c>
      <c r="Z16" s="1" t="s">
        <v>31</v>
      </c>
    </row>
    <row r="17" spans="1:26">
      <c r="A17" s="1">
        <v>15</v>
      </c>
      <c r="B17" s="1">
        <v>2</v>
      </c>
      <c r="C17" s="1">
        <v>1</v>
      </c>
      <c r="D17" s="1">
        <v>22.613591750035901</v>
      </c>
      <c r="G17" s="1">
        <v>22.6017703333636</v>
      </c>
      <c r="H17" s="1">
        <v>22.613591750035901</v>
      </c>
      <c r="I17" s="1">
        <v>23.113554083392899</v>
      </c>
      <c r="J17" s="1">
        <v>23.113554083392899</v>
      </c>
      <c r="K17" s="1">
        <v>23.113554083392899</v>
      </c>
      <c r="L17" s="1">
        <v>23.413716125069101</v>
      </c>
      <c r="M17" s="1">
        <v>23.634294375078699</v>
      </c>
      <c r="N17" s="1" t="s">
        <v>32</v>
      </c>
      <c r="O17" s="1">
        <v>1</v>
      </c>
      <c r="P17" s="1">
        <v>1</v>
      </c>
      <c r="Q17" s="1">
        <v>1</v>
      </c>
      <c r="R17" s="1">
        <v>0.51814458332955804</v>
      </c>
      <c r="S17" s="1" t="s">
        <v>27</v>
      </c>
      <c r="T17" s="1">
        <v>1</v>
      </c>
      <c r="U17" s="3" t="s">
        <v>28</v>
      </c>
      <c r="V17" s="1" t="s">
        <v>29</v>
      </c>
      <c r="X17" s="1" t="s">
        <v>30</v>
      </c>
      <c r="Y17" s="1">
        <v>59.941018021787997</v>
      </c>
      <c r="Z17" s="1" t="s">
        <v>31</v>
      </c>
    </row>
    <row r="18" spans="1:26">
      <c r="A18" s="1">
        <v>16</v>
      </c>
      <c r="B18" s="1">
        <v>2</v>
      </c>
      <c r="C18" s="1">
        <v>1</v>
      </c>
      <c r="D18" s="1">
        <v>23.649911583401199</v>
      </c>
      <c r="G18" s="1">
        <v>23.634473875048499</v>
      </c>
      <c r="H18" s="1">
        <v>23.649911583401199</v>
      </c>
      <c r="I18" s="1">
        <v>24.1470434167422</v>
      </c>
      <c r="J18" s="1">
        <v>24.1470434167422</v>
      </c>
      <c r="K18" s="1">
        <v>24.163501083385199</v>
      </c>
      <c r="L18" s="1">
        <v>24.4469727916875</v>
      </c>
      <c r="M18" s="1">
        <v>24.8174760417314</v>
      </c>
      <c r="N18" s="1" t="s">
        <v>32</v>
      </c>
      <c r="O18" s="1">
        <v>1</v>
      </c>
      <c r="P18" s="1">
        <v>1</v>
      </c>
      <c r="Q18" s="1">
        <v>1</v>
      </c>
      <c r="R18" s="1">
        <v>0.66258395824115701</v>
      </c>
      <c r="S18" s="1" t="s">
        <v>27</v>
      </c>
      <c r="T18" s="1">
        <v>1</v>
      </c>
      <c r="U18" s="3" t="s">
        <v>28</v>
      </c>
      <c r="V18" s="1" t="s">
        <v>29</v>
      </c>
      <c r="X18" s="1" t="s">
        <v>30</v>
      </c>
      <c r="Y18" s="1">
        <v>59.941018021787997</v>
      </c>
      <c r="Z18" s="1" t="s">
        <v>31</v>
      </c>
    </row>
    <row r="19" spans="1:26">
      <c r="A19" s="1">
        <v>17</v>
      </c>
      <c r="B19" s="1">
        <v>1</v>
      </c>
      <c r="C19" s="1">
        <v>1</v>
      </c>
      <c r="D19" s="1">
        <v>24.829925500089299</v>
      </c>
      <c r="G19" s="1">
        <v>24.817684291745501</v>
      </c>
      <c r="H19" s="1">
        <v>24.829925500089299</v>
      </c>
      <c r="I19" s="1">
        <v>25.3305041251005</v>
      </c>
      <c r="J19" s="1">
        <v>25.3305041251005</v>
      </c>
      <c r="K19" s="1">
        <v>25.3305041251005</v>
      </c>
      <c r="L19" s="1">
        <v>25.6303388334345</v>
      </c>
      <c r="M19" s="1">
        <v>26.968166625010699</v>
      </c>
      <c r="N19" s="1" t="s">
        <v>32</v>
      </c>
      <c r="O19" s="1">
        <v>1</v>
      </c>
      <c r="P19" s="1">
        <v>0</v>
      </c>
      <c r="Q19" s="1">
        <v>0</v>
      </c>
      <c r="R19" s="1">
        <v>1.63306329166516</v>
      </c>
      <c r="S19" s="1" t="s">
        <v>27</v>
      </c>
      <c r="T19" s="1">
        <v>1</v>
      </c>
      <c r="U19" s="3" t="s">
        <v>28</v>
      </c>
      <c r="V19" s="1" t="s">
        <v>29</v>
      </c>
      <c r="X19" s="1" t="s">
        <v>30</v>
      </c>
      <c r="Y19" s="1">
        <v>59.941018021787997</v>
      </c>
      <c r="Z19" s="1" t="s">
        <v>31</v>
      </c>
    </row>
    <row r="20" spans="1:26">
      <c r="A20" s="1">
        <v>18</v>
      </c>
      <c r="B20" s="1">
        <v>1</v>
      </c>
      <c r="C20" s="1">
        <v>2</v>
      </c>
      <c r="D20" s="1">
        <v>26.9800511667272</v>
      </c>
      <c r="G20" s="1">
        <v>26.9683584166923</v>
      </c>
      <c r="H20" s="1">
        <v>26.9800511667272</v>
      </c>
      <c r="I20" s="1">
        <v>27.480209083412699</v>
      </c>
      <c r="J20" s="1">
        <v>27.480209083412699</v>
      </c>
      <c r="K20" s="1">
        <v>27.480209083412699</v>
      </c>
      <c r="L20" s="1">
        <v>27.780295083415599</v>
      </c>
      <c r="M20" s="1">
        <v>28.049718458321799</v>
      </c>
      <c r="N20" s="1" t="s">
        <v>26</v>
      </c>
      <c r="O20" s="1">
        <v>-2</v>
      </c>
      <c r="P20" s="1">
        <v>1</v>
      </c>
      <c r="Q20" s="1">
        <v>1</v>
      </c>
      <c r="R20" s="1">
        <v>0.56728316668886603</v>
      </c>
      <c r="S20" s="1" t="s">
        <v>27</v>
      </c>
      <c r="T20" s="1">
        <v>1</v>
      </c>
      <c r="U20" s="3" t="s">
        <v>28</v>
      </c>
      <c r="V20" s="1" t="s">
        <v>29</v>
      </c>
      <c r="X20" s="1" t="s">
        <v>30</v>
      </c>
      <c r="Y20" s="1">
        <v>59.941018021787997</v>
      </c>
      <c r="Z20" s="1" t="s">
        <v>31</v>
      </c>
    </row>
    <row r="21" spans="1:26">
      <c r="A21" s="1">
        <v>19</v>
      </c>
      <c r="B21" s="1">
        <v>1</v>
      </c>
      <c r="C21" s="1">
        <v>2</v>
      </c>
      <c r="D21" s="1">
        <v>28.065888916724301</v>
      </c>
      <c r="G21" s="1">
        <v>28.0498794583836</v>
      </c>
      <c r="H21" s="1">
        <v>28.065888916724301</v>
      </c>
      <c r="I21" s="1">
        <v>28.563702208339201</v>
      </c>
      <c r="J21" s="1">
        <v>28.563702208339201</v>
      </c>
      <c r="K21" s="1">
        <v>28.580353041761501</v>
      </c>
      <c r="L21" s="1">
        <v>28.863458958338001</v>
      </c>
      <c r="M21" s="1">
        <v>29.167595166712999</v>
      </c>
      <c r="N21" s="1" t="s">
        <v>32</v>
      </c>
      <c r="O21" s="1">
        <v>2</v>
      </c>
      <c r="P21" s="1">
        <v>1</v>
      </c>
      <c r="Q21" s="1">
        <v>1</v>
      </c>
      <c r="R21" s="1">
        <v>0.60129891673568603</v>
      </c>
      <c r="S21" s="1" t="s">
        <v>27</v>
      </c>
      <c r="T21" s="1">
        <v>1</v>
      </c>
      <c r="U21" s="3" t="s">
        <v>28</v>
      </c>
      <c r="V21" s="1" t="s">
        <v>29</v>
      </c>
      <c r="X21" s="1" t="s">
        <v>30</v>
      </c>
      <c r="Y21" s="1">
        <v>59.941018021787997</v>
      </c>
      <c r="Z21" s="1" t="s">
        <v>31</v>
      </c>
    </row>
    <row r="22" spans="1:26">
      <c r="A22" s="1">
        <v>20</v>
      </c>
      <c r="B22" s="1">
        <v>1</v>
      </c>
      <c r="C22" s="1">
        <v>2</v>
      </c>
      <c r="D22" s="1">
        <v>29.183196041733002</v>
      </c>
      <c r="G22" s="1">
        <v>29.167781041702199</v>
      </c>
      <c r="H22" s="1">
        <v>29.183196041733002</v>
      </c>
      <c r="I22" s="1">
        <v>29.6801783750997</v>
      </c>
      <c r="J22" s="1">
        <v>29.6801783750997</v>
      </c>
      <c r="K22" s="1">
        <v>29.6971066667465</v>
      </c>
      <c r="L22" s="1">
        <v>29.9802281250013</v>
      </c>
      <c r="M22" s="1">
        <v>30.101559500093501</v>
      </c>
      <c r="N22" s="1" t="s">
        <v>26</v>
      </c>
      <c r="O22" s="1">
        <v>-2</v>
      </c>
      <c r="P22" s="1">
        <v>1</v>
      </c>
      <c r="Q22" s="1">
        <v>1</v>
      </c>
      <c r="R22" s="1">
        <v>0.41839166672434602</v>
      </c>
      <c r="S22" s="1" t="s">
        <v>27</v>
      </c>
      <c r="T22" s="1">
        <v>1</v>
      </c>
      <c r="U22" s="3" t="s">
        <v>28</v>
      </c>
      <c r="V22" s="1" t="s">
        <v>29</v>
      </c>
      <c r="X22" s="1" t="s">
        <v>30</v>
      </c>
      <c r="Y22" s="1">
        <v>59.941018021787997</v>
      </c>
      <c r="Z22" s="1" t="s">
        <v>31</v>
      </c>
    </row>
    <row r="23" spans="1:26">
      <c r="A23" s="1">
        <v>21</v>
      </c>
      <c r="B23" s="1">
        <v>1</v>
      </c>
      <c r="C23" s="1">
        <v>1</v>
      </c>
      <c r="D23" s="1">
        <v>30.116161833400799</v>
      </c>
      <c r="G23" s="1">
        <v>30.101748833432701</v>
      </c>
      <c r="H23" s="1">
        <v>30.116161833400799</v>
      </c>
      <c r="I23" s="1">
        <v>30.613542416714999</v>
      </c>
      <c r="J23" s="1">
        <v>30.613542416714999</v>
      </c>
      <c r="K23" s="1">
        <v>30.6301762083312</v>
      </c>
      <c r="L23" s="1">
        <v>30.9136944584315</v>
      </c>
      <c r="M23" s="1">
        <v>31.1861766250804</v>
      </c>
      <c r="N23" s="1" t="s">
        <v>32</v>
      </c>
      <c r="O23" s="1">
        <v>1</v>
      </c>
      <c r="P23" s="1">
        <v>1</v>
      </c>
      <c r="Q23" s="1">
        <v>1</v>
      </c>
      <c r="R23" s="1">
        <v>0.55796366673894204</v>
      </c>
      <c r="S23" s="1" t="s">
        <v>27</v>
      </c>
      <c r="T23" s="1">
        <v>1</v>
      </c>
      <c r="U23" s="3" t="s">
        <v>28</v>
      </c>
      <c r="V23" s="1" t="s">
        <v>29</v>
      </c>
      <c r="X23" s="1" t="s">
        <v>30</v>
      </c>
      <c r="Y23" s="1">
        <v>59.941018021787997</v>
      </c>
      <c r="Z23" s="1" t="s">
        <v>31</v>
      </c>
    </row>
    <row r="24" spans="1:26">
      <c r="A24" s="1">
        <v>22</v>
      </c>
      <c r="B24" s="1">
        <v>1</v>
      </c>
      <c r="C24" s="1">
        <v>1</v>
      </c>
      <c r="D24" s="1">
        <v>31.196463500033101</v>
      </c>
      <c r="G24" s="1">
        <v>31.1863467500079</v>
      </c>
      <c r="H24" s="1">
        <v>31.196463500033101</v>
      </c>
      <c r="I24" s="1">
        <v>31.696969791664699</v>
      </c>
      <c r="J24" s="1">
        <v>31.696969791664699</v>
      </c>
      <c r="K24" s="1">
        <v>31.696969791664699</v>
      </c>
      <c r="L24" s="1">
        <v>31.996886875014699</v>
      </c>
      <c r="M24" s="1">
        <v>32.618691041716303</v>
      </c>
      <c r="N24" s="1" t="s">
        <v>26</v>
      </c>
      <c r="O24" s="1">
        <v>-1</v>
      </c>
      <c r="P24" s="1">
        <v>1</v>
      </c>
      <c r="Q24" s="1">
        <v>1</v>
      </c>
      <c r="R24" s="1">
        <v>0.91509329166729003</v>
      </c>
      <c r="S24" s="1" t="s">
        <v>27</v>
      </c>
      <c r="T24" s="1">
        <v>1</v>
      </c>
      <c r="U24" s="3" t="s">
        <v>28</v>
      </c>
      <c r="V24" s="1" t="s">
        <v>29</v>
      </c>
      <c r="X24" s="1" t="s">
        <v>30</v>
      </c>
      <c r="Y24" s="1">
        <v>59.941018021787997</v>
      </c>
      <c r="Z24" s="1" t="s">
        <v>31</v>
      </c>
    </row>
    <row r="25" spans="1:26">
      <c r="A25" s="1">
        <v>23</v>
      </c>
      <c r="B25" s="1">
        <v>0.5</v>
      </c>
      <c r="C25" s="1">
        <v>1</v>
      </c>
      <c r="D25" s="1">
        <v>32.629915000055902</v>
      </c>
      <c r="G25" s="1">
        <v>32.618880875059403</v>
      </c>
      <c r="H25" s="1">
        <v>32.629915000055902</v>
      </c>
      <c r="I25" s="1">
        <v>33.130111375008703</v>
      </c>
      <c r="J25" s="1">
        <v>33.130111375008703</v>
      </c>
      <c r="K25" s="1">
        <v>33.130111375008703</v>
      </c>
      <c r="L25" s="1">
        <v>33.430275333346799</v>
      </c>
      <c r="M25" s="1">
        <v>34.450229125097302</v>
      </c>
      <c r="N25" s="1" t="s">
        <v>32</v>
      </c>
      <c r="O25" s="1">
        <v>1</v>
      </c>
      <c r="P25" s="1">
        <v>0</v>
      </c>
      <c r="Q25" s="1">
        <v>0</v>
      </c>
      <c r="R25" s="1">
        <v>1.3092903749784399</v>
      </c>
      <c r="S25" s="1" t="s">
        <v>27</v>
      </c>
      <c r="T25" s="1">
        <v>1</v>
      </c>
      <c r="U25" s="3" t="s">
        <v>28</v>
      </c>
      <c r="V25" s="1" t="s">
        <v>29</v>
      </c>
      <c r="X25" s="1" t="s">
        <v>30</v>
      </c>
      <c r="Y25" s="1">
        <v>59.941018021787997</v>
      </c>
      <c r="Z25" s="1" t="s">
        <v>31</v>
      </c>
    </row>
    <row r="26" spans="1:26">
      <c r="A26" s="1">
        <v>24</v>
      </c>
      <c r="B26" s="1">
        <v>0.5</v>
      </c>
      <c r="C26" s="1">
        <v>1.5</v>
      </c>
      <c r="D26" s="1">
        <v>34.463543875026502</v>
      </c>
      <c r="G26" s="1">
        <v>34.450331541709602</v>
      </c>
      <c r="H26" s="1">
        <v>34.463543875026502</v>
      </c>
      <c r="I26" s="1">
        <v>34.963652500067802</v>
      </c>
      <c r="J26" s="1">
        <v>34.963652500067802</v>
      </c>
      <c r="K26" s="1">
        <v>34.963652500067802</v>
      </c>
      <c r="L26" s="1">
        <v>35.263604666688401</v>
      </c>
      <c r="M26" s="1">
        <v>37.419493208406401</v>
      </c>
      <c r="N26" s="1" t="s">
        <v>26</v>
      </c>
      <c r="O26" s="1">
        <v>-1.5</v>
      </c>
      <c r="P26" s="1">
        <v>1</v>
      </c>
      <c r="Q26" s="1">
        <v>1</v>
      </c>
      <c r="R26" s="1">
        <v>2.4426826250273699</v>
      </c>
      <c r="S26" s="1" t="s">
        <v>27</v>
      </c>
      <c r="T26" s="1">
        <v>1</v>
      </c>
      <c r="U26" s="3" t="s">
        <v>28</v>
      </c>
      <c r="V26" s="1" t="s">
        <v>29</v>
      </c>
      <c r="X26" s="1" t="s">
        <v>30</v>
      </c>
      <c r="Y26" s="1">
        <v>59.941018021787997</v>
      </c>
      <c r="Z26" s="1" t="s">
        <v>31</v>
      </c>
    </row>
    <row r="27" spans="1:26">
      <c r="A27" s="1">
        <v>25</v>
      </c>
      <c r="B27" s="1">
        <v>0.5</v>
      </c>
      <c r="C27" s="1">
        <v>1.5</v>
      </c>
      <c r="D27" s="1">
        <v>37.429748416761797</v>
      </c>
      <c r="G27" s="1">
        <v>37.419669124996197</v>
      </c>
      <c r="H27" s="1">
        <v>37.429748416761797</v>
      </c>
      <c r="I27" s="1">
        <v>37.930318958358797</v>
      </c>
      <c r="J27" s="1">
        <v>37.930318958358797</v>
      </c>
      <c r="K27" s="1">
        <v>37.930318958358797</v>
      </c>
      <c r="L27" s="1">
        <v>38.230278458329799</v>
      </c>
      <c r="M27" s="1">
        <v>39.567805083352098</v>
      </c>
      <c r="N27" s="1" t="s">
        <v>26</v>
      </c>
      <c r="O27" s="1">
        <v>-1.5</v>
      </c>
      <c r="P27" s="1">
        <v>1</v>
      </c>
      <c r="Q27" s="1">
        <v>1</v>
      </c>
      <c r="R27" s="1">
        <v>1.6359721249900701</v>
      </c>
      <c r="S27" s="1" t="s">
        <v>27</v>
      </c>
      <c r="T27" s="1">
        <v>1</v>
      </c>
      <c r="U27" s="3" t="s">
        <v>28</v>
      </c>
      <c r="V27" s="1" t="s">
        <v>29</v>
      </c>
      <c r="X27" s="1" t="s">
        <v>30</v>
      </c>
      <c r="Y27" s="1">
        <v>59.941018021787997</v>
      </c>
      <c r="Z27" s="1" t="s">
        <v>31</v>
      </c>
    </row>
    <row r="28" spans="1:26">
      <c r="A28" s="1">
        <v>26</v>
      </c>
      <c r="B28" s="1">
        <v>0.5</v>
      </c>
      <c r="C28" s="1">
        <v>1.5</v>
      </c>
      <c r="D28" s="1">
        <v>39.583283625077399</v>
      </c>
      <c r="G28" s="1">
        <v>39.567983416723997</v>
      </c>
      <c r="H28" s="1">
        <v>39.583283625077399</v>
      </c>
      <c r="I28" s="1">
        <v>40.080115666729398</v>
      </c>
      <c r="J28" s="1">
        <v>40.080115666729398</v>
      </c>
      <c r="K28" s="1">
        <v>40.096911708358597</v>
      </c>
      <c r="L28" s="1">
        <v>40.380312791676197</v>
      </c>
      <c r="M28" s="1">
        <v>42.151631499989797</v>
      </c>
      <c r="N28" s="1" t="s">
        <v>32</v>
      </c>
      <c r="O28" s="1">
        <v>1.5</v>
      </c>
      <c r="P28" s="1">
        <v>0</v>
      </c>
      <c r="Q28" s="1">
        <v>0</v>
      </c>
      <c r="R28" s="1">
        <v>2.06315016676671</v>
      </c>
      <c r="S28" s="1" t="s">
        <v>27</v>
      </c>
      <c r="T28" s="1">
        <v>1</v>
      </c>
      <c r="U28" s="3" t="s">
        <v>28</v>
      </c>
      <c r="V28" s="1" t="s">
        <v>29</v>
      </c>
      <c r="X28" s="1" t="s">
        <v>30</v>
      </c>
      <c r="Y28" s="1">
        <v>59.941018021787997</v>
      </c>
      <c r="Z28" s="1" t="s">
        <v>31</v>
      </c>
    </row>
    <row r="29" spans="1:26">
      <c r="A29" s="1">
        <v>27</v>
      </c>
      <c r="B29" s="1">
        <v>0.5</v>
      </c>
      <c r="C29" s="1">
        <v>2</v>
      </c>
      <c r="D29" s="1">
        <v>42.162908000056603</v>
      </c>
      <c r="G29" s="1">
        <v>42.151797124999497</v>
      </c>
      <c r="H29" s="1">
        <v>42.162908000056603</v>
      </c>
      <c r="I29" s="1">
        <v>42.663539708359103</v>
      </c>
      <c r="J29" s="1">
        <v>42.663539708359103</v>
      </c>
      <c r="K29" s="1">
        <v>42.663539708359103</v>
      </c>
      <c r="L29" s="1">
        <v>42.963630083366297</v>
      </c>
      <c r="M29" s="1">
        <v>46.102785625029298</v>
      </c>
      <c r="N29" s="1" t="s">
        <v>32</v>
      </c>
      <c r="O29" s="1">
        <v>2</v>
      </c>
      <c r="P29" s="1">
        <v>1</v>
      </c>
      <c r="Q29" s="1">
        <v>1</v>
      </c>
      <c r="R29" s="1">
        <v>3.4247021250193899</v>
      </c>
      <c r="S29" s="1" t="s">
        <v>27</v>
      </c>
      <c r="T29" s="1">
        <v>1</v>
      </c>
      <c r="U29" s="3" t="s">
        <v>28</v>
      </c>
      <c r="V29" s="1" t="s">
        <v>29</v>
      </c>
      <c r="X29" s="1" t="s">
        <v>30</v>
      </c>
      <c r="Y29" s="1">
        <v>59.941018021787997</v>
      </c>
      <c r="Z29" s="1" t="s">
        <v>31</v>
      </c>
    </row>
    <row r="30" spans="1:26">
      <c r="A30" s="1">
        <v>28</v>
      </c>
      <c r="B30" s="1">
        <v>0.5</v>
      </c>
      <c r="C30" s="1">
        <v>2</v>
      </c>
      <c r="D30" s="1">
        <v>46.113080875016699</v>
      </c>
      <c r="G30" s="1">
        <v>46.102956958347903</v>
      </c>
      <c r="H30" s="1">
        <v>46.113080875016699</v>
      </c>
      <c r="I30" s="1">
        <v>46.613545750034902</v>
      </c>
      <c r="J30" s="1">
        <v>46.613545750034902</v>
      </c>
      <c r="K30" s="1">
        <v>46.613545750034902</v>
      </c>
      <c r="L30" s="1">
        <v>46.913590000010998</v>
      </c>
      <c r="M30" s="1">
        <v>47.569436083431299</v>
      </c>
      <c r="N30" s="1" t="s">
        <v>32</v>
      </c>
      <c r="O30" s="1">
        <v>2</v>
      </c>
      <c r="P30" s="1">
        <v>0</v>
      </c>
      <c r="Q30" s="1">
        <v>0</v>
      </c>
      <c r="R30" s="1">
        <v>0.94055816670879699</v>
      </c>
      <c r="S30" s="1" t="s">
        <v>27</v>
      </c>
      <c r="T30" s="1">
        <v>1</v>
      </c>
      <c r="U30" s="3" t="s">
        <v>28</v>
      </c>
      <c r="V30" s="1" t="s">
        <v>29</v>
      </c>
      <c r="X30" s="1" t="s">
        <v>30</v>
      </c>
      <c r="Y30" s="1">
        <v>59.941018021787997</v>
      </c>
      <c r="Z30" s="1" t="s">
        <v>31</v>
      </c>
    </row>
    <row r="31" spans="1:26">
      <c r="A31" s="1">
        <v>29</v>
      </c>
      <c r="B31" s="1">
        <v>0.5</v>
      </c>
      <c r="C31" s="1">
        <v>2.5</v>
      </c>
      <c r="D31" s="1">
        <v>47.579668708378399</v>
      </c>
      <c r="G31" s="1">
        <v>47.569604000076602</v>
      </c>
      <c r="H31" s="1">
        <v>47.579668708378399</v>
      </c>
      <c r="I31" s="1">
        <v>48.080273875035303</v>
      </c>
      <c r="J31" s="1">
        <v>48.080273875035303</v>
      </c>
      <c r="K31" s="1">
        <v>48.080273875035303</v>
      </c>
      <c r="L31" s="1">
        <v>48.380242499988498</v>
      </c>
      <c r="M31" s="1">
        <v>48.700986041687401</v>
      </c>
      <c r="N31" s="1" t="s">
        <v>26</v>
      </c>
      <c r="O31" s="1">
        <v>-2.5</v>
      </c>
      <c r="P31" s="1">
        <v>0</v>
      </c>
      <c r="Q31" s="1">
        <v>0</v>
      </c>
      <c r="R31" s="1">
        <v>0.61880870838649504</v>
      </c>
      <c r="S31" s="1" t="s">
        <v>27</v>
      </c>
      <c r="T31" s="1">
        <v>1</v>
      </c>
      <c r="U31" s="3" t="s">
        <v>28</v>
      </c>
      <c r="V31" s="1" t="s">
        <v>29</v>
      </c>
      <c r="X31" s="1" t="s">
        <v>30</v>
      </c>
      <c r="Y31" s="1">
        <v>59.941018021787997</v>
      </c>
      <c r="Z31" s="1" t="s">
        <v>31</v>
      </c>
    </row>
    <row r="32" spans="1:26">
      <c r="A32" s="1">
        <v>30</v>
      </c>
      <c r="B32" s="1">
        <v>0.5</v>
      </c>
      <c r="C32" s="1">
        <v>3</v>
      </c>
      <c r="D32" s="1">
        <v>48.716544083319597</v>
      </c>
      <c r="G32" s="1">
        <v>48.701168375089701</v>
      </c>
      <c r="H32" s="1">
        <v>48.716544083319597</v>
      </c>
      <c r="I32" s="1">
        <v>49.213562375050898</v>
      </c>
      <c r="J32" s="1">
        <v>49.213562375050898</v>
      </c>
      <c r="K32" s="1">
        <v>49.230116458376799</v>
      </c>
      <c r="L32" s="1">
        <v>49.513648083433502</v>
      </c>
      <c r="M32" s="1">
        <v>50.100971208419601</v>
      </c>
      <c r="N32" s="1" t="s">
        <v>26</v>
      </c>
      <c r="O32" s="1">
        <v>-3</v>
      </c>
      <c r="P32" s="1">
        <v>1</v>
      </c>
      <c r="Q32" s="1">
        <v>1</v>
      </c>
      <c r="R32" s="1">
        <v>0.88152720837388099</v>
      </c>
      <c r="S32" s="1" t="s">
        <v>27</v>
      </c>
      <c r="T32" s="1">
        <v>1</v>
      </c>
      <c r="U32" s="3" t="s">
        <v>28</v>
      </c>
      <c r="V32" s="1" t="s">
        <v>29</v>
      </c>
      <c r="X32" s="1" t="s">
        <v>30</v>
      </c>
      <c r="Y32" s="1">
        <v>59.941018021787997</v>
      </c>
      <c r="Z32" s="1" t="s">
        <v>31</v>
      </c>
    </row>
    <row r="33" spans="1:26">
      <c r="A33" s="1">
        <v>31</v>
      </c>
      <c r="B33" s="1">
        <v>0.5</v>
      </c>
      <c r="C33" s="1">
        <v>3</v>
      </c>
      <c r="D33" s="1">
        <v>50.113205875037202</v>
      </c>
      <c r="G33" s="1">
        <v>50.101147583336498</v>
      </c>
      <c r="H33" s="1">
        <v>50.113205875037202</v>
      </c>
      <c r="I33" s="1">
        <v>50.613442666712203</v>
      </c>
      <c r="J33" s="1">
        <v>50.613442666712203</v>
      </c>
      <c r="K33" s="1">
        <v>50.613442666712203</v>
      </c>
      <c r="L33" s="1">
        <v>50.913518833345698</v>
      </c>
      <c r="M33" s="1">
        <v>51.2860450417501</v>
      </c>
      <c r="N33" s="1" t="s">
        <v>32</v>
      </c>
      <c r="O33" s="1">
        <v>3</v>
      </c>
      <c r="P33" s="1">
        <v>1</v>
      </c>
      <c r="Q33" s="1">
        <v>1</v>
      </c>
      <c r="R33" s="1">
        <v>0.65763041656464305</v>
      </c>
      <c r="S33" s="1" t="s">
        <v>27</v>
      </c>
      <c r="T33" s="1">
        <v>1</v>
      </c>
      <c r="U33" s="3" t="s">
        <v>28</v>
      </c>
      <c r="V33" s="1" t="s">
        <v>29</v>
      </c>
      <c r="X33" s="1" t="s">
        <v>30</v>
      </c>
      <c r="Y33" s="1">
        <v>59.941018021787997</v>
      </c>
      <c r="Z33" s="1" t="s">
        <v>31</v>
      </c>
    </row>
    <row r="34" spans="1:26">
      <c r="A34" s="1">
        <v>32</v>
      </c>
      <c r="B34" s="1">
        <v>0.5</v>
      </c>
      <c r="C34" s="1">
        <v>3</v>
      </c>
      <c r="D34" s="1">
        <v>51.296445625019203</v>
      </c>
      <c r="G34" s="1">
        <v>51.286220416659397</v>
      </c>
      <c r="H34" s="1">
        <v>51.296445625019203</v>
      </c>
      <c r="I34" s="1">
        <v>51.796954374993199</v>
      </c>
      <c r="J34" s="1">
        <v>51.796954374993199</v>
      </c>
      <c r="K34" s="1">
        <v>51.796954374993199</v>
      </c>
      <c r="L34" s="1">
        <v>52.096894083428197</v>
      </c>
      <c r="M34" s="1">
        <v>52.701618833350899</v>
      </c>
      <c r="N34" s="1" t="s">
        <v>26</v>
      </c>
      <c r="O34" s="1">
        <v>-3</v>
      </c>
      <c r="P34" s="1">
        <v>1</v>
      </c>
      <c r="Q34" s="1">
        <v>1</v>
      </c>
      <c r="R34" s="1">
        <v>0.89605016657151204</v>
      </c>
      <c r="S34" s="1" t="s">
        <v>27</v>
      </c>
      <c r="T34" s="1">
        <v>1</v>
      </c>
      <c r="U34" s="3" t="s">
        <v>28</v>
      </c>
      <c r="V34" s="1" t="s">
        <v>29</v>
      </c>
      <c r="X34" s="1" t="s">
        <v>30</v>
      </c>
      <c r="Y34" s="1">
        <v>59.941018021787997</v>
      </c>
      <c r="Z34" s="1" t="s">
        <v>31</v>
      </c>
    </row>
    <row r="35" spans="1:26">
      <c r="A35" s="1">
        <v>33</v>
      </c>
      <c r="B35" s="1">
        <v>0.5</v>
      </c>
      <c r="C35" s="1">
        <v>2.5</v>
      </c>
      <c r="D35" s="1">
        <v>52.713009041733997</v>
      </c>
      <c r="G35" s="1">
        <v>52.701779291732201</v>
      </c>
      <c r="H35" s="1">
        <v>52.713009041733997</v>
      </c>
      <c r="I35" s="1">
        <v>53.213470000075098</v>
      </c>
      <c r="J35" s="1">
        <v>53.213470000075098</v>
      </c>
      <c r="K35" s="1">
        <v>53.213470000075098</v>
      </c>
      <c r="L35" s="1">
        <v>53.513418666669097</v>
      </c>
      <c r="M35" s="1">
        <v>53.666300875018301</v>
      </c>
      <c r="N35" s="1" t="s">
        <v>32</v>
      </c>
      <c r="O35" s="1">
        <v>2.5</v>
      </c>
      <c r="P35" s="1">
        <v>1</v>
      </c>
      <c r="Q35" s="1">
        <v>1</v>
      </c>
      <c r="R35" s="1">
        <v>0.451552375103347</v>
      </c>
      <c r="S35" s="1" t="s">
        <v>27</v>
      </c>
      <c r="T35" s="1">
        <v>1</v>
      </c>
      <c r="U35" s="3" t="s">
        <v>28</v>
      </c>
      <c r="V35" s="1" t="s">
        <v>29</v>
      </c>
      <c r="X35" s="1" t="s">
        <v>30</v>
      </c>
      <c r="Y35" s="1">
        <v>59.941018021787997</v>
      </c>
      <c r="Z35" s="1" t="s">
        <v>31</v>
      </c>
    </row>
    <row r="36" spans="1:26">
      <c r="A36" s="1">
        <v>34</v>
      </c>
      <c r="B36" s="1">
        <v>0.5</v>
      </c>
      <c r="C36" s="1">
        <v>2.5</v>
      </c>
      <c r="D36" s="1">
        <v>53.682415749994099</v>
      </c>
      <c r="G36" s="1">
        <v>53.666474500088903</v>
      </c>
      <c r="H36" s="1">
        <v>53.682415749994099</v>
      </c>
      <c r="I36" s="1">
        <v>54.180297458427901</v>
      </c>
      <c r="J36" s="1">
        <v>54.180297458427901</v>
      </c>
      <c r="K36" s="1">
        <v>54.196961416746397</v>
      </c>
      <c r="L36" s="1">
        <v>54.480265791760701</v>
      </c>
      <c r="M36" s="1">
        <v>55.001592874992603</v>
      </c>
      <c r="N36" s="1" t="s">
        <v>26</v>
      </c>
      <c r="O36" s="1">
        <v>-2.5</v>
      </c>
      <c r="P36" s="1">
        <v>1</v>
      </c>
      <c r="Q36" s="1">
        <v>1</v>
      </c>
      <c r="R36" s="1">
        <v>0.81367691664490804</v>
      </c>
      <c r="S36" s="1" t="s">
        <v>27</v>
      </c>
      <c r="T36" s="1">
        <v>1</v>
      </c>
      <c r="U36" s="3" t="s">
        <v>28</v>
      </c>
      <c r="V36" s="1" t="s">
        <v>29</v>
      </c>
      <c r="X36" s="1" t="s">
        <v>30</v>
      </c>
      <c r="Y36" s="1">
        <v>59.941018021787997</v>
      </c>
      <c r="Z36" s="1" t="s">
        <v>31</v>
      </c>
    </row>
    <row r="37" spans="1:26">
      <c r="A37" s="1">
        <v>35</v>
      </c>
      <c r="B37" s="1">
        <v>0.5</v>
      </c>
      <c r="C37" s="1">
        <v>2.5</v>
      </c>
      <c r="D37" s="1">
        <v>55.0130084167467</v>
      </c>
      <c r="G37" s="1">
        <v>55.001759750070001</v>
      </c>
      <c r="H37" s="1">
        <v>55.0130084167467</v>
      </c>
      <c r="I37" s="1">
        <v>55.513435208354998</v>
      </c>
      <c r="J37" s="1">
        <v>55.513435208354998</v>
      </c>
      <c r="K37" s="1">
        <v>55.513435208354998</v>
      </c>
      <c r="L37" s="1">
        <v>55.813547583413303</v>
      </c>
      <c r="M37" s="1">
        <v>56.137598208384503</v>
      </c>
      <c r="N37" s="1" t="s">
        <v>26</v>
      </c>
      <c r="O37" s="1">
        <v>-2.5</v>
      </c>
      <c r="P37" s="1">
        <v>1</v>
      </c>
      <c r="Q37" s="1">
        <v>1</v>
      </c>
      <c r="R37" s="1">
        <v>0.60650308337062597</v>
      </c>
      <c r="S37" s="1" t="s">
        <v>27</v>
      </c>
      <c r="T37" s="1">
        <v>1</v>
      </c>
      <c r="U37" s="3" t="s">
        <v>28</v>
      </c>
      <c r="V37" s="1" t="s">
        <v>29</v>
      </c>
      <c r="X37" s="1" t="s">
        <v>30</v>
      </c>
      <c r="Y37" s="1">
        <v>59.941018021787997</v>
      </c>
      <c r="Z37" s="1" t="s">
        <v>31</v>
      </c>
    </row>
    <row r="38" spans="1:26">
      <c r="A38" s="1">
        <v>36</v>
      </c>
      <c r="B38" s="1">
        <v>0.5</v>
      </c>
      <c r="C38" s="1">
        <v>2</v>
      </c>
      <c r="D38" s="1">
        <v>56.146721958415498</v>
      </c>
      <c r="G38" s="1">
        <v>56.137787291663699</v>
      </c>
      <c r="H38" s="1">
        <v>56.146721958415498</v>
      </c>
      <c r="I38" s="1">
        <v>56.647235041717003</v>
      </c>
      <c r="J38" s="1">
        <v>56.647235041717003</v>
      </c>
      <c r="K38" s="1">
        <v>56.647235041717003</v>
      </c>
      <c r="L38" s="1">
        <v>56.947003333363597</v>
      </c>
      <c r="M38" s="1">
        <v>57.349595708423202</v>
      </c>
      <c r="N38" s="1" t="s">
        <v>32</v>
      </c>
      <c r="O38" s="1">
        <v>2</v>
      </c>
      <c r="P38" s="1">
        <v>1</v>
      </c>
      <c r="Q38" s="1">
        <v>1</v>
      </c>
      <c r="R38" s="1">
        <v>0.69940562499686998</v>
      </c>
      <c r="S38" s="1" t="s">
        <v>27</v>
      </c>
      <c r="T38" s="1">
        <v>1</v>
      </c>
      <c r="U38" s="3" t="s">
        <v>28</v>
      </c>
      <c r="V38" s="1" t="s">
        <v>29</v>
      </c>
      <c r="X38" s="1" t="s">
        <v>30</v>
      </c>
      <c r="Y38" s="1">
        <v>59.941018021787997</v>
      </c>
      <c r="Z38" s="1" t="s">
        <v>31</v>
      </c>
    </row>
    <row r="39" spans="1:26">
      <c r="A39" s="1">
        <v>37</v>
      </c>
      <c r="B39" s="1">
        <v>0.5</v>
      </c>
      <c r="C39" s="1">
        <v>2</v>
      </c>
      <c r="D39" s="1">
        <v>57.363611708395098</v>
      </c>
      <c r="G39" s="1">
        <v>57.3497603749856</v>
      </c>
      <c r="H39" s="1">
        <v>57.363611708395098</v>
      </c>
      <c r="I39" s="1">
        <v>57.863576916744897</v>
      </c>
      <c r="J39" s="1">
        <v>57.863576916744897</v>
      </c>
      <c r="K39" s="1">
        <v>57.863576916744897</v>
      </c>
      <c r="L39" s="1">
        <v>58.163498666719498</v>
      </c>
      <c r="M39" s="1">
        <v>59.0022849166998</v>
      </c>
      <c r="N39" s="1" t="s">
        <v>32</v>
      </c>
      <c r="O39" s="1">
        <v>2</v>
      </c>
      <c r="P39" s="1">
        <v>1</v>
      </c>
      <c r="Q39" s="1">
        <v>1</v>
      </c>
      <c r="R39" s="1">
        <v>1.12127837492153</v>
      </c>
      <c r="S39" s="1" t="s">
        <v>27</v>
      </c>
      <c r="T39" s="1">
        <v>1</v>
      </c>
      <c r="U39" s="3" t="s">
        <v>28</v>
      </c>
      <c r="V39" s="1" t="s">
        <v>29</v>
      </c>
      <c r="X39" s="1" t="s">
        <v>30</v>
      </c>
      <c r="Y39" s="1">
        <v>59.941018021787997</v>
      </c>
      <c r="Z39" s="1" t="s">
        <v>31</v>
      </c>
    </row>
    <row r="40" spans="1:26">
      <c r="A40" s="1">
        <v>38</v>
      </c>
      <c r="B40" s="1">
        <v>0.5</v>
      </c>
      <c r="C40" s="1">
        <v>2</v>
      </c>
      <c r="D40" s="1">
        <v>59.013596125063401</v>
      </c>
      <c r="G40" s="1">
        <v>59.002456124988299</v>
      </c>
      <c r="H40" s="1">
        <v>59.013596125063401</v>
      </c>
      <c r="I40" s="1">
        <v>59.513562666717903</v>
      </c>
      <c r="J40" s="1">
        <v>59.513562666717903</v>
      </c>
      <c r="K40" s="1">
        <v>59.513562666717903</v>
      </c>
      <c r="L40" s="1">
        <v>59.813533833366797</v>
      </c>
      <c r="M40" s="1">
        <v>60.086240791715603</v>
      </c>
      <c r="N40" s="1" t="s">
        <v>26</v>
      </c>
      <c r="O40" s="1">
        <v>-2</v>
      </c>
      <c r="P40" s="1">
        <v>0</v>
      </c>
      <c r="Q40" s="1">
        <v>0</v>
      </c>
      <c r="R40" s="1">
        <v>0.55524683336261604</v>
      </c>
      <c r="S40" s="1" t="s">
        <v>27</v>
      </c>
      <c r="T40" s="1">
        <v>1</v>
      </c>
      <c r="U40" s="3" t="s">
        <v>28</v>
      </c>
      <c r="V40" s="1" t="s">
        <v>29</v>
      </c>
      <c r="X40" s="1" t="s">
        <v>30</v>
      </c>
      <c r="Y40" s="1">
        <v>59.941018021787997</v>
      </c>
      <c r="Z40" s="1" t="s">
        <v>31</v>
      </c>
    </row>
    <row r="41" spans="1:26">
      <c r="A41" s="1">
        <v>39</v>
      </c>
      <c r="B41" s="1">
        <v>0.5</v>
      </c>
      <c r="C41" s="1">
        <v>2.5</v>
      </c>
      <c r="D41" s="1">
        <v>60.096725208335499</v>
      </c>
      <c r="G41" s="1">
        <v>60.0864253750769</v>
      </c>
      <c r="H41" s="1">
        <v>60.096725208335499</v>
      </c>
      <c r="I41" s="1">
        <v>60.596773458411903</v>
      </c>
      <c r="J41" s="1">
        <v>60.596773458411903</v>
      </c>
      <c r="K41" s="1">
        <v>60.596773458411903</v>
      </c>
      <c r="L41" s="1">
        <v>60.897028208361</v>
      </c>
      <c r="M41" s="1">
        <v>61.753587458399103</v>
      </c>
      <c r="N41" s="1" t="s">
        <v>26</v>
      </c>
      <c r="O41" s="1">
        <v>-2.5</v>
      </c>
      <c r="P41" s="1">
        <v>0</v>
      </c>
      <c r="Q41" s="1">
        <v>0</v>
      </c>
      <c r="R41" s="1">
        <v>1.1430819999659401</v>
      </c>
      <c r="S41" s="1" t="s">
        <v>27</v>
      </c>
      <c r="T41" s="1">
        <v>1</v>
      </c>
      <c r="U41" s="3" t="s">
        <v>28</v>
      </c>
      <c r="V41" s="1" t="s">
        <v>29</v>
      </c>
      <c r="X41" s="1" t="s">
        <v>30</v>
      </c>
      <c r="Y41" s="1">
        <v>59.941018021787997</v>
      </c>
      <c r="Z41" s="1" t="s">
        <v>31</v>
      </c>
    </row>
    <row r="42" spans="1:26">
      <c r="A42" s="1">
        <v>40</v>
      </c>
      <c r="B42" s="1">
        <v>0.5</v>
      </c>
      <c r="C42" s="1">
        <v>3</v>
      </c>
      <c r="D42" s="1">
        <v>61.763163125025997</v>
      </c>
      <c r="G42" s="1">
        <v>61.753832166665198</v>
      </c>
      <c r="H42" s="1">
        <v>61.763163125025997</v>
      </c>
      <c r="I42" s="1">
        <v>62.2638441667659</v>
      </c>
      <c r="J42" s="1">
        <v>62.2638441667659</v>
      </c>
      <c r="K42" s="1">
        <v>62.2638441667659</v>
      </c>
      <c r="L42" s="1">
        <v>62.563543708412901</v>
      </c>
      <c r="M42" s="1">
        <v>62.801373583381</v>
      </c>
      <c r="N42" s="1" t="s">
        <v>26</v>
      </c>
      <c r="O42" s="1">
        <v>-3</v>
      </c>
      <c r="P42" s="1">
        <v>1</v>
      </c>
      <c r="Q42" s="1">
        <v>1</v>
      </c>
      <c r="R42" s="1">
        <v>0.53197783336508997</v>
      </c>
      <c r="S42" s="1" t="s">
        <v>27</v>
      </c>
      <c r="T42" s="1">
        <v>1</v>
      </c>
      <c r="U42" s="3" t="s">
        <v>28</v>
      </c>
      <c r="V42" s="1" t="s">
        <v>29</v>
      </c>
      <c r="X42" s="1" t="s">
        <v>30</v>
      </c>
      <c r="Y42" s="1">
        <v>59.941018021787997</v>
      </c>
      <c r="Z42" s="1" t="s">
        <v>31</v>
      </c>
    </row>
    <row r="43" spans="1:26">
      <c r="A43" s="1">
        <v>41</v>
      </c>
      <c r="B43" s="1">
        <v>0.5</v>
      </c>
      <c r="C43" s="1">
        <v>3</v>
      </c>
      <c r="D43" s="1">
        <v>62.813135458389297</v>
      </c>
      <c r="G43" s="1">
        <v>62.801543166744501</v>
      </c>
      <c r="H43" s="1">
        <v>62.813135458389297</v>
      </c>
      <c r="I43" s="1">
        <v>63.314185208408098</v>
      </c>
      <c r="J43" s="1">
        <v>63.314185208408098</v>
      </c>
      <c r="K43" s="1">
        <v>63.314185208408098</v>
      </c>
      <c r="L43" s="1">
        <v>63.613899625022803</v>
      </c>
      <c r="M43" s="1">
        <v>63.7849598750472</v>
      </c>
      <c r="N43" s="1" t="s">
        <v>32</v>
      </c>
      <c r="O43" s="1">
        <v>3</v>
      </c>
      <c r="P43" s="1">
        <v>1</v>
      </c>
      <c r="Q43" s="1">
        <v>1</v>
      </c>
      <c r="R43" s="1">
        <v>0.46265645837411201</v>
      </c>
      <c r="S43" s="1" t="s">
        <v>27</v>
      </c>
      <c r="T43" s="1">
        <v>1</v>
      </c>
      <c r="U43" s="3" t="s">
        <v>28</v>
      </c>
      <c r="V43" s="1" t="s">
        <v>29</v>
      </c>
      <c r="X43" s="1" t="s">
        <v>30</v>
      </c>
      <c r="Y43" s="1">
        <v>59.941018021787997</v>
      </c>
      <c r="Z43" s="1" t="s">
        <v>31</v>
      </c>
    </row>
    <row r="44" spans="1:26">
      <c r="A44" s="1">
        <v>42</v>
      </c>
      <c r="B44" s="1">
        <v>0.5</v>
      </c>
      <c r="C44" s="1">
        <v>3</v>
      </c>
      <c r="D44" s="1">
        <v>63.796871583326698</v>
      </c>
      <c r="G44" s="1">
        <v>63.785056375083499</v>
      </c>
      <c r="H44" s="1">
        <v>63.796871583326698</v>
      </c>
      <c r="I44" s="1">
        <v>64.296814625034997</v>
      </c>
      <c r="J44" s="1">
        <v>64.296814625034997</v>
      </c>
      <c r="K44" s="1">
        <v>64.296814625034997</v>
      </c>
      <c r="L44" s="1">
        <v>64.597077583428401</v>
      </c>
      <c r="M44" s="1">
        <v>64.884906291728797</v>
      </c>
      <c r="N44" s="1" t="s">
        <v>32</v>
      </c>
      <c r="O44" s="1">
        <v>3</v>
      </c>
      <c r="P44" s="1">
        <v>0</v>
      </c>
      <c r="Q44" s="1">
        <v>0</v>
      </c>
      <c r="R44" s="1">
        <v>0.58592537499498498</v>
      </c>
      <c r="S44" s="1" t="s">
        <v>27</v>
      </c>
      <c r="T44" s="1">
        <v>1</v>
      </c>
      <c r="U44" s="3" t="s">
        <v>28</v>
      </c>
      <c r="V44" s="1" t="s">
        <v>29</v>
      </c>
      <c r="X44" s="1" t="s">
        <v>30</v>
      </c>
      <c r="Y44" s="1">
        <v>59.941018021787997</v>
      </c>
      <c r="Z44" s="1" t="s">
        <v>31</v>
      </c>
    </row>
    <row r="45" spans="1:26">
      <c r="A45" s="1">
        <v>43</v>
      </c>
      <c r="B45" s="1">
        <v>0.5</v>
      </c>
      <c r="C45" s="1">
        <v>3.5</v>
      </c>
      <c r="D45" s="1">
        <v>64.899386958335498</v>
      </c>
      <c r="G45" s="1">
        <v>64.885132958414005</v>
      </c>
      <c r="H45" s="1">
        <v>64.899386958335498</v>
      </c>
      <c r="I45" s="1">
        <v>65.397023833356798</v>
      </c>
      <c r="J45" s="1">
        <v>65.397023833356798</v>
      </c>
      <c r="K45" s="1">
        <v>65.413401583326007</v>
      </c>
      <c r="L45" s="1">
        <v>65.696949833421897</v>
      </c>
      <c r="M45" s="1">
        <v>66.551420541713</v>
      </c>
      <c r="N45" s="1" t="s">
        <v>32</v>
      </c>
      <c r="O45" s="1">
        <v>3.5</v>
      </c>
      <c r="P45" s="1">
        <v>0</v>
      </c>
      <c r="Q45" s="1">
        <v>0</v>
      </c>
      <c r="R45" s="1">
        <v>1.1457240416202601</v>
      </c>
      <c r="S45" s="1" t="s">
        <v>27</v>
      </c>
      <c r="T45" s="1">
        <v>1</v>
      </c>
      <c r="U45" s="3" t="s">
        <v>28</v>
      </c>
      <c r="V45" s="1" t="s">
        <v>29</v>
      </c>
      <c r="X45" s="1" t="s">
        <v>30</v>
      </c>
      <c r="Y45" s="1">
        <v>59.941018021787997</v>
      </c>
      <c r="Z45" s="1" t="s">
        <v>31</v>
      </c>
    </row>
    <row r="46" spans="1:26">
      <c r="A46" s="1">
        <v>44</v>
      </c>
      <c r="B46" s="1">
        <v>0.5</v>
      </c>
      <c r="C46" s="1">
        <v>4</v>
      </c>
      <c r="D46" s="1">
        <v>66.562981833354499</v>
      </c>
      <c r="G46" s="1">
        <v>66.551575749996104</v>
      </c>
      <c r="H46" s="1">
        <v>66.562981833354499</v>
      </c>
      <c r="I46" s="1">
        <v>67.063416416756795</v>
      </c>
      <c r="J46" s="1">
        <v>67.063416416756795</v>
      </c>
      <c r="K46" s="1">
        <v>67.063416416756795</v>
      </c>
      <c r="L46" s="1">
        <v>67.363722125068307</v>
      </c>
      <c r="M46" s="1">
        <v>67.934949874994302</v>
      </c>
      <c r="N46" s="1" t="s">
        <v>32</v>
      </c>
      <c r="O46" s="1">
        <v>4</v>
      </c>
      <c r="P46" s="1">
        <v>1</v>
      </c>
      <c r="Q46" s="1">
        <v>1</v>
      </c>
      <c r="R46" s="1">
        <v>0.86326600005850196</v>
      </c>
      <c r="S46" s="1" t="s">
        <v>27</v>
      </c>
      <c r="T46" s="1">
        <v>1</v>
      </c>
      <c r="U46" s="3" t="s">
        <v>28</v>
      </c>
      <c r="V46" s="1" t="s">
        <v>29</v>
      </c>
      <c r="X46" s="1" t="s">
        <v>30</v>
      </c>
      <c r="Y46" s="1">
        <v>59.941018021787997</v>
      </c>
      <c r="Z46" s="1" t="s">
        <v>31</v>
      </c>
    </row>
    <row r="47" spans="1:26">
      <c r="A47" s="1">
        <v>45</v>
      </c>
      <c r="B47" s="1">
        <v>0.5</v>
      </c>
      <c r="C47" s="1">
        <v>4</v>
      </c>
      <c r="D47" s="1">
        <v>67.946786333341095</v>
      </c>
      <c r="G47" s="1">
        <v>67.9350440000416</v>
      </c>
      <c r="H47" s="1">
        <v>67.946786333341095</v>
      </c>
      <c r="I47" s="1">
        <v>68.447017833357606</v>
      </c>
      <c r="J47" s="1">
        <v>68.447017833357606</v>
      </c>
      <c r="K47" s="1">
        <v>68.447017833357606</v>
      </c>
      <c r="L47" s="1">
        <v>68.746831708354804</v>
      </c>
      <c r="M47" s="1">
        <v>69.083157374989199</v>
      </c>
      <c r="N47" s="1" t="s">
        <v>32</v>
      </c>
      <c r="O47" s="1">
        <v>4</v>
      </c>
      <c r="P47" s="1">
        <v>1</v>
      </c>
      <c r="Q47" s="1">
        <v>1</v>
      </c>
      <c r="R47" s="1">
        <v>0.63260016671847497</v>
      </c>
      <c r="S47" s="1" t="s">
        <v>27</v>
      </c>
      <c r="T47" s="1">
        <v>1</v>
      </c>
      <c r="U47" s="3" t="s">
        <v>28</v>
      </c>
      <c r="V47" s="1" t="s">
        <v>29</v>
      </c>
      <c r="X47" s="1" t="s">
        <v>30</v>
      </c>
      <c r="Y47" s="1">
        <v>59.941018021787997</v>
      </c>
      <c r="Z47" s="1" t="s">
        <v>31</v>
      </c>
    </row>
    <row r="48" spans="1:26">
      <c r="A48" s="1">
        <v>46</v>
      </c>
      <c r="B48" s="1">
        <v>0.5</v>
      </c>
      <c r="C48" s="1">
        <v>4</v>
      </c>
      <c r="D48" s="1">
        <v>69.096852833405094</v>
      </c>
      <c r="G48" s="1">
        <v>69.083328125066998</v>
      </c>
      <c r="H48" s="1">
        <v>69.096852833405094</v>
      </c>
      <c r="I48" s="1">
        <v>69.596784041728796</v>
      </c>
      <c r="J48" s="1">
        <v>69.596784041728796</v>
      </c>
      <c r="K48" s="1">
        <v>69.596784041728796</v>
      </c>
      <c r="L48" s="1">
        <v>69.896931125083896</v>
      </c>
      <c r="M48" s="1">
        <v>70.400779958348707</v>
      </c>
      <c r="N48" s="1" t="s">
        <v>32</v>
      </c>
      <c r="O48" s="1">
        <v>4</v>
      </c>
      <c r="P48" s="1">
        <v>0</v>
      </c>
      <c r="Q48" s="1">
        <v>0</v>
      </c>
      <c r="R48" s="1">
        <v>0.80087800009641796</v>
      </c>
      <c r="S48" s="1" t="s">
        <v>27</v>
      </c>
      <c r="T48" s="1">
        <v>1</v>
      </c>
      <c r="U48" s="3" t="s">
        <v>28</v>
      </c>
      <c r="V48" s="1" t="s">
        <v>29</v>
      </c>
      <c r="X48" s="1" t="s">
        <v>30</v>
      </c>
      <c r="Y48" s="1">
        <v>59.941018021787997</v>
      </c>
      <c r="Z48" s="1" t="s">
        <v>31</v>
      </c>
    </row>
    <row r="49" spans="1:26">
      <c r="A49" s="1">
        <v>47</v>
      </c>
      <c r="B49" s="1">
        <v>0.5</v>
      </c>
      <c r="C49" s="1">
        <v>4.5</v>
      </c>
      <c r="D49" s="1">
        <v>70.416481125052002</v>
      </c>
      <c r="G49" s="1">
        <v>70.401004166691493</v>
      </c>
      <c r="H49" s="1">
        <v>70.416481125052002</v>
      </c>
      <c r="I49" s="1">
        <v>70.913473958382298</v>
      </c>
      <c r="J49" s="1">
        <v>70.913473958382298</v>
      </c>
      <c r="K49" s="1">
        <v>70.930444166762697</v>
      </c>
      <c r="L49" s="1">
        <v>71.213366208365102</v>
      </c>
      <c r="M49" s="1">
        <v>71.551792916725304</v>
      </c>
      <c r="N49" s="1" t="s">
        <v>26</v>
      </c>
      <c r="O49" s="1">
        <v>-4.5</v>
      </c>
      <c r="P49" s="1">
        <v>1</v>
      </c>
      <c r="Q49" s="1">
        <v>1</v>
      </c>
      <c r="R49" s="1">
        <v>0.63519829162396402</v>
      </c>
      <c r="S49" s="1" t="s">
        <v>27</v>
      </c>
      <c r="T49" s="1">
        <v>1</v>
      </c>
      <c r="U49" s="3" t="s">
        <v>28</v>
      </c>
      <c r="V49" s="1" t="s">
        <v>29</v>
      </c>
      <c r="X49" s="1" t="s">
        <v>30</v>
      </c>
      <c r="Y49" s="1">
        <v>59.941018021787997</v>
      </c>
      <c r="Z49" s="1" t="s">
        <v>31</v>
      </c>
    </row>
    <row r="50" spans="1:26">
      <c r="A50" s="1">
        <v>48</v>
      </c>
      <c r="B50" s="1">
        <v>0.5</v>
      </c>
      <c r="C50" s="1">
        <v>4.5</v>
      </c>
      <c r="D50" s="1">
        <v>71.566367708379403</v>
      </c>
      <c r="G50" s="1">
        <v>71.551979083334999</v>
      </c>
      <c r="H50" s="1">
        <v>71.566367708379403</v>
      </c>
      <c r="I50" s="1">
        <v>72.063507916755</v>
      </c>
      <c r="J50" s="1">
        <v>72.063507916755</v>
      </c>
      <c r="K50" s="1">
        <v>72.080150500056305</v>
      </c>
      <c r="L50" s="1">
        <v>72.363440708373602</v>
      </c>
      <c r="M50" s="1">
        <v>72.767380625009494</v>
      </c>
      <c r="N50" s="1" t="s">
        <v>32</v>
      </c>
      <c r="O50" s="1">
        <v>4.5</v>
      </c>
      <c r="P50" s="1">
        <v>1</v>
      </c>
      <c r="Q50" s="1">
        <v>1</v>
      </c>
      <c r="R50" s="1">
        <v>0.69914995844010197</v>
      </c>
      <c r="S50" s="1" t="s">
        <v>27</v>
      </c>
      <c r="T50" s="1">
        <v>1</v>
      </c>
      <c r="U50" s="3" t="s">
        <v>28</v>
      </c>
      <c r="V50" s="1" t="s">
        <v>29</v>
      </c>
      <c r="X50" s="1" t="s">
        <v>30</v>
      </c>
      <c r="Y50" s="1">
        <v>59.941018021787997</v>
      </c>
      <c r="Z50" s="1" t="s">
        <v>31</v>
      </c>
    </row>
    <row r="51" spans="1:26">
      <c r="A51" s="1">
        <v>49</v>
      </c>
      <c r="B51" s="1">
        <v>0.5</v>
      </c>
      <c r="C51" s="1">
        <v>4.5</v>
      </c>
      <c r="D51" s="1">
        <v>72.779812166700097</v>
      </c>
      <c r="G51" s="1">
        <v>72.767545333364893</v>
      </c>
      <c r="H51" s="1">
        <v>72.779812166700097</v>
      </c>
      <c r="I51" s="1">
        <v>73.280201708432202</v>
      </c>
      <c r="J51" s="1">
        <v>73.280201708432202</v>
      </c>
      <c r="K51" s="1">
        <v>73.280201708432202</v>
      </c>
      <c r="L51" s="1">
        <v>73.580176958348602</v>
      </c>
      <c r="M51" s="1">
        <v>73.836250875028696</v>
      </c>
      <c r="N51" s="1" t="s">
        <v>32</v>
      </c>
      <c r="O51" s="1">
        <v>4.5</v>
      </c>
      <c r="P51" s="1">
        <v>1</v>
      </c>
      <c r="Q51" s="1">
        <v>1</v>
      </c>
      <c r="R51" s="1">
        <v>0.54433887498453204</v>
      </c>
      <c r="S51" s="1" t="s">
        <v>27</v>
      </c>
      <c r="T51" s="1">
        <v>1</v>
      </c>
      <c r="U51" s="3" t="s">
        <v>28</v>
      </c>
      <c r="V51" s="1" t="s">
        <v>29</v>
      </c>
      <c r="X51" s="1" t="s">
        <v>30</v>
      </c>
      <c r="Y51" s="1">
        <v>59.941018021787997</v>
      </c>
      <c r="Z51" s="1" t="s">
        <v>31</v>
      </c>
    </row>
    <row r="52" spans="1:26">
      <c r="A52" s="1">
        <v>50</v>
      </c>
      <c r="B52" s="1">
        <v>0.5</v>
      </c>
      <c r="C52" s="1">
        <v>4</v>
      </c>
      <c r="D52" s="1">
        <v>73.846410166704999</v>
      </c>
      <c r="G52" s="1">
        <v>73.836444166721705</v>
      </c>
      <c r="H52" s="1">
        <v>73.846410166704999</v>
      </c>
      <c r="I52" s="1">
        <v>74.346789083327096</v>
      </c>
      <c r="J52" s="1">
        <v>74.346789083327096</v>
      </c>
      <c r="K52" s="1">
        <v>74.346789083327096</v>
      </c>
      <c r="L52" s="1">
        <v>74.646931500057605</v>
      </c>
      <c r="M52" s="1">
        <v>74.901471583405495</v>
      </c>
      <c r="N52" s="1" t="s">
        <v>32</v>
      </c>
      <c r="O52" s="1">
        <v>4</v>
      </c>
      <c r="P52" s="1">
        <v>1</v>
      </c>
      <c r="Q52" s="1">
        <v>1</v>
      </c>
      <c r="R52" s="1">
        <v>0.54585866665001903</v>
      </c>
      <c r="S52" s="1" t="s">
        <v>27</v>
      </c>
      <c r="T52" s="1">
        <v>1</v>
      </c>
      <c r="U52" s="3" t="s">
        <v>28</v>
      </c>
      <c r="V52" s="1" t="s">
        <v>29</v>
      </c>
      <c r="X52" s="1" t="s">
        <v>30</v>
      </c>
      <c r="Y52" s="1">
        <v>59.941018021787997</v>
      </c>
      <c r="Z52" s="1" t="s">
        <v>31</v>
      </c>
    </row>
    <row r="53" spans="1:26">
      <c r="A53" s="1">
        <v>51</v>
      </c>
      <c r="B53" s="1">
        <v>0.5</v>
      </c>
      <c r="C53" s="1">
        <v>4</v>
      </c>
      <c r="D53" s="1">
        <v>74.913390458328607</v>
      </c>
      <c r="G53" s="1">
        <v>74.901590666733597</v>
      </c>
      <c r="H53" s="1">
        <v>74.913390458328607</v>
      </c>
      <c r="I53" s="1">
        <v>75.413371583330402</v>
      </c>
      <c r="J53" s="1">
        <v>75.413371583330402</v>
      </c>
      <c r="K53" s="1">
        <v>75.413371583330402</v>
      </c>
      <c r="L53" s="1">
        <v>75.713452458381596</v>
      </c>
      <c r="M53" s="1">
        <v>76.084033083403398</v>
      </c>
      <c r="N53" s="1" t="s">
        <v>26</v>
      </c>
      <c r="O53" s="1">
        <v>-4</v>
      </c>
      <c r="P53" s="1">
        <v>0</v>
      </c>
      <c r="Q53" s="1">
        <v>0</v>
      </c>
      <c r="R53" s="1">
        <v>0.66614474996458695</v>
      </c>
      <c r="S53" s="1" t="s">
        <v>27</v>
      </c>
      <c r="T53" s="1">
        <v>1</v>
      </c>
      <c r="U53" s="3" t="s">
        <v>28</v>
      </c>
      <c r="V53" s="1" t="s">
        <v>29</v>
      </c>
      <c r="X53" s="1" t="s">
        <v>30</v>
      </c>
      <c r="Y53" s="1">
        <v>59.941018021787997</v>
      </c>
      <c r="Z53" s="1" t="s">
        <v>31</v>
      </c>
    </row>
    <row r="54" spans="1:26">
      <c r="A54" s="1">
        <v>52</v>
      </c>
      <c r="B54" s="1">
        <v>0.5</v>
      </c>
      <c r="C54" s="1">
        <v>4.5</v>
      </c>
      <c r="D54" s="1">
        <v>76.096892666653702</v>
      </c>
      <c r="G54" s="1">
        <v>76.084204624988999</v>
      </c>
      <c r="H54" s="1">
        <v>76.096892666653702</v>
      </c>
      <c r="I54" s="1">
        <v>76.596805041655898</v>
      </c>
      <c r="J54" s="1">
        <v>76.596805041655898</v>
      </c>
      <c r="K54" s="1">
        <v>76.596805041655898</v>
      </c>
      <c r="L54" s="1">
        <v>76.896875750040607</v>
      </c>
      <c r="M54" s="1">
        <v>77.367358750081607</v>
      </c>
      <c r="N54" s="1" t="s">
        <v>26</v>
      </c>
      <c r="O54" s="1">
        <v>-4.5</v>
      </c>
      <c r="P54" s="1">
        <v>1</v>
      </c>
      <c r="Q54" s="1">
        <v>1</v>
      </c>
      <c r="R54" s="1">
        <v>0.76666399999521595</v>
      </c>
      <c r="S54" s="1" t="s">
        <v>27</v>
      </c>
      <c r="T54" s="1">
        <v>1</v>
      </c>
      <c r="U54" s="3" t="s">
        <v>28</v>
      </c>
      <c r="V54" s="1" t="s">
        <v>29</v>
      </c>
      <c r="X54" s="1" t="s">
        <v>30</v>
      </c>
      <c r="Y54" s="1">
        <v>59.941018021787997</v>
      </c>
      <c r="Z54" s="1" t="s">
        <v>31</v>
      </c>
    </row>
    <row r="55" spans="1:26">
      <c r="A55" s="1">
        <v>53</v>
      </c>
      <c r="B55" s="1">
        <v>0.5</v>
      </c>
      <c r="C55" s="1">
        <v>4.5</v>
      </c>
      <c r="D55" s="1">
        <v>77.379820583388195</v>
      </c>
      <c r="G55" s="1">
        <v>77.367528583388705</v>
      </c>
      <c r="H55" s="1">
        <v>77.379820583388195</v>
      </c>
      <c r="I55" s="1">
        <v>77.880263250088305</v>
      </c>
      <c r="J55" s="1">
        <v>77.880263250088305</v>
      </c>
      <c r="K55" s="1">
        <v>77.880263250088305</v>
      </c>
      <c r="L55" s="1">
        <v>78.180333791766301</v>
      </c>
      <c r="M55" s="1">
        <v>78.586187625071005</v>
      </c>
      <c r="N55" s="1" t="s">
        <v>26</v>
      </c>
      <c r="O55" s="1">
        <v>-4.5</v>
      </c>
      <c r="P55" s="1">
        <v>1</v>
      </c>
      <c r="Q55" s="1">
        <v>1</v>
      </c>
      <c r="R55" s="1">
        <v>0.69317049998790004</v>
      </c>
      <c r="S55" s="1" t="s">
        <v>27</v>
      </c>
      <c r="T55" s="1">
        <v>1</v>
      </c>
      <c r="U55" s="3" t="s">
        <v>28</v>
      </c>
      <c r="V55" s="1" t="s">
        <v>29</v>
      </c>
      <c r="X55" s="1" t="s">
        <v>30</v>
      </c>
      <c r="Y55" s="1">
        <v>59.941018021787997</v>
      </c>
      <c r="Z55" s="1" t="s">
        <v>31</v>
      </c>
    </row>
    <row r="56" spans="1:26">
      <c r="A56" s="1">
        <v>54</v>
      </c>
      <c r="B56" s="1">
        <v>0.5</v>
      </c>
      <c r="C56" s="1">
        <v>4.5</v>
      </c>
      <c r="D56" s="1">
        <v>78.5964191666571</v>
      </c>
      <c r="G56" s="1">
        <v>78.586357208434407</v>
      </c>
      <c r="H56" s="1">
        <v>78.5964191666571</v>
      </c>
      <c r="I56" s="1">
        <v>79.096961875096895</v>
      </c>
      <c r="J56" s="1">
        <v>79.096961875096895</v>
      </c>
      <c r="K56" s="1">
        <v>79.096961875096895</v>
      </c>
      <c r="L56" s="1">
        <v>79.396940916660199</v>
      </c>
      <c r="M56" s="1">
        <v>79.734011958353193</v>
      </c>
      <c r="N56" s="1" t="s">
        <v>32</v>
      </c>
      <c r="O56" s="1">
        <v>4.5</v>
      </c>
      <c r="P56" s="1">
        <v>1</v>
      </c>
      <c r="Q56" s="1">
        <v>1</v>
      </c>
      <c r="R56" s="1">
        <v>0.62956679170019902</v>
      </c>
      <c r="S56" s="1" t="s">
        <v>27</v>
      </c>
      <c r="T56" s="1">
        <v>1</v>
      </c>
      <c r="U56" s="3" t="s">
        <v>28</v>
      </c>
      <c r="V56" s="1" t="s">
        <v>29</v>
      </c>
      <c r="X56" s="1" t="s">
        <v>30</v>
      </c>
      <c r="Y56" s="1">
        <v>59.941018021787997</v>
      </c>
      <c r="Z56" s="1" t="s">
        <v>31</v>
      </c>
    </row>
    <row r="57" spans="1:26">
      <c r="A57" s="1">
        <v>55</v>
      </c>
      <c r="B57" s="1">
        <v>0.5</v>
      </c>
      <c r="C57" s="1">
        <v>4</v>
      </c>
      <c r="D57" s="1">
        <v>79.746460541733498</v>
      </c>
      <c r="G57" s="1">
        <v>79.734207166708003</v>
      </c>
      <c r="H57" s="1">
        <v>79.746460541733498</v>
      </c>
      <c r="I57" s="1">
        <v>80.246919000055598</v>
      </c>
      <c r="J57" s="1">
        <v>80.246919000055598</v>
      </c>
      <c r="K57" s="1">
        <v>80.246919000055598</v>
      </c>
      <c r="L57" s="1">
        <v>80.546920791733996</v>
      </c>
      <c r="M57" s="1">
        <v>81.234729791758497</v>
      </c>
      <c r="N57" s="1" t="s">
        <v>32</v>
      </c>
      <c r="O57" s="1">
        <v>4</v>
      </c>
      <c r="P57" s="1">
        <v>1</v>
      </c>
      <c r="Q57" s="1">
        <v>1</v>
      </c>
      <c r="R57" s="1">
        <v>0.98646245838608504</v>
      </c>
      <c r="S57" s="1" t="s">
        <v>27</v>
      </c>
      <c r="T57" s="1">
        <v>1</v>
      </c>
      <c r="U57" s="3" t="s">
        <v>28</v>
      </c>
      <c r="V57" s="1" t="s">
        <v>29</v>
      </c>
      <c r="X57" s="1" t="s">
        <v>30</v>
      </c>
      <c r="Y57" s="1">
        <v>59.941018021787997</v>
      </c>
      <c r="Z57" s="1" t="s">
        <v>31</v>
      </c>
    </row>
    <row r="58" spans="1:26">
      <c r="A58" s="1">
        <v>56</v>
      </c>
      <c r="B58" s="1">
        <v>0.5</v>
      </c>
      <c r="C58" s="1">
        <v>4</v>
      </c>
      <c r="D58" s="1">
        <v>81.249731583404298</v>
      </c>
      <c r="G58" s="1">
        <v>81.234900875017004</v>
      </c>
      <c r="H58" s="1">
        <v>81.249731583404298</v>
      </c>
      <c r="I58" s="1">
        <v>81.746848083334001</v>
      </c>
      <c r="J58" s="1">
        <v>81.746848083334001</v>
      </c>
      <c r="K58" s="1">
        <v>81.7634871250484</v>
      </c>
      <c r="L58" s="1">
        <v>82.046867291675795</v>
      </c>
      <c r="M58" s="1">
        <v>82.618297500070099</v>
      </c>
      <c r="N58" s="1" t="s">
        <v>32</v>
      </c>
      <c r="O58" s="1">
        <v>4</v>
      </c>
      <c r="P58" s="1">
        <v>1</v>
      </c>
      <c r="Q58" s="1">
        <v>1</v>
      </c>
      <c r="R58" s="1">
        <v>0.86553945834748403</v>
      </c>
      <c r="S58" s="1" t="s">
        <v>27</v>
      </c>
      <c r="T58" s="1">
        <v>1</v>
      </c>
      <c r="U58" s="3" t="s">
        <v>28</v>
      </c>
      <c r="V58" s="1" t="s">
        <v>29</v>
      </c>
      <c r="X58" s="1" t="s">
        <v>30</v>
      </c>
      <c r="Y58" s="1">
        <v>59.941018021787997</v>
      </c>
      <c r="Z58" s="1" t="s">
        <v>31</v>
      </c>
    </row>
    <row r="59" spans="1:26">
      <c r="A59" s="1">
        <v>57</v>
      </c>
      <c r="B59" s="1">
        <v>0.5</v>
      </c>
      <c r="C59" s="1">
        <v>4</v>
      </c>
      <c r="D59" s="1">
        <v>82.629828541655996</v>
      </c>
      <c r="G59" s="1">
        <v>82.618480000062803</v>
      </c>
      <c r="H59" s="1">
        <v>82.629828541655996</v>
      </c>
      <c r="I59" s="1">
        <v>83.130185291753094</v>
      </c>
      <c r="J59" s="1">
        <v>83.130185291753094</v>
      </c>
      <c r="K59" s="1">
        <v>83.130185291753094</v>
      </c>
      <c r="L59" s="1">
        <v>83.430315791745599</v>
      </c>
      <c r="M59" s="1">
        <v>83.7346457083476</v>
      </c>
      <c r="N59" s="1" t="s">
        <v>26</v>
      </c>
      <c r="O59" s="1">
        <v>-4</v>
      </c>
      <c r="P59" s="1">
        <v>0</v>
      </c>
      <c r="Q59" s="1">
        <v>0</v>
      </c>
      <c r="R59" s="1">
        <v>0.60116095829289395</v>
      </c>
      <c r="S59" s="1" t="s">
        <v>27</v>
      </c>
      <c r="T59" s="1">
        <v>1</v>
      </c>
      <c r="U59" s="3" t="s">
        <v>28</v>
      </c>
      <c r="V59" s="1" t="s">
        <v>29</v>
      </c>
      <c r="X59" s="1" t="s">
        <v>30</v>
      </c>
      <c r="Y59" s="1">
        <v>59.941018021787997</v>
      </c>
      <c r="Z59" s="1" t="s">
        <v>31</v>
      </c>
    </row>
    <row r="60" spans="1:26">
      <c r="A60" s="1">
        <v>58</v>
      </c>
      <c r="B60" s="1">
        <v>0.5</v>
      </c>
      <c r="C60" s="1">
        <v>4.5</v>
      </c>
      <c r="D60" s="1">
        <v>83.749504500068696</v>
      </c>
      <c r="G60" s="1">
        <v>83.734819125034804</v>
      </c>
      <c r="H60" s="1">
        <v>83.749504500068696</v>
      </c>
      <c r="I60" s="1">
        <v>84.246865166700402</v>
      </c>
      <c r="J60" s="1">
        <v>84.246865166700402</v>
      </c>
      <c r="K60" s="1">
        <v>84.263442583382101</v>
      </c>
      <c r="L60" s="1">
        <v>84.546741458354504</v>
      </c>
      <c r="M60" s="1">
        <v>85.284822458401294</v>
      </c>
      <c r="N60" s="1" t="s">
        <v>26</v>
      </c>
      <c r="O60" s="1">
        <v>-4.5</v>
      </c>
      <c r="P60" s="1">
        <v>1</v>
      </c>
      <c r="Q60" s="1">
        <v>1</v>
      </c>
      <c r="R60" s="1">
        <v>1.0345020416425501</v>
      </c>
      <c r="S60" s="1" t="s">
        <v>27</v>
      </c>
      <c r="T60" s="1">
        <v>1</v>
      </c>
      <c r="U60" s="3" t="s">
        <v>28</v>
      </c>
      <c r="V60" s="1" t="s">
        <v>29</v>
      </c>
      <c r="X60" s="1" t="s">
        <v>30</v>
      </c>
      <c r="Y60" s="1">
        <v>59.941018021787997</v>
      </c>
      <c r="Z60" s="1" t="s">
        <v>31</v>
      </c>
    </row>
    <row r="61" spans="1:26">
      <c r="A61" s="1">
        <v>59</v>
      </c>
      <c r="B61" s="1">
        <v>0.5</v>
      </c>
      <c r="C61" s="1">
        <v>4.5</v>
      </c>
      <c r="D61" s="1">
        <v>85.299746708362306</v>
      </c>
      <c r="G61" s="1">
        <v>85.285015708417603</v>
      </c>
      <c r="H61" s="1">
        <v>85.299746708362306</v>
      </c>
      <c r="I61" s="1">
        <v>85.796758749987902</v>
      </c>
      <c r="J61" s="1">
        <v>85.796758749987902</v>
      </c>
      <c r="K61" s="1">
        <v>85.813498833333099</v>
      </c>
      <c r="L61" s="1">
        <v>86.097005291725495</v>
      </c>
      <c r="M61" s="1">
        <v>86.501144583336995</v>
      </c>
      <c r="N61" s="1" t="s">
        <v>26</v>
      </c>
      <c r="O61" s="1">
        <v>-4.5</v>
      </c>
      <c r="P61" s="1">
        <v>1</v>
      </c>
      <c r="Q61" s="1">
        <v>1</v>
      </c>
      <c r="R61" s="1">
        <v>0.69650900003034599</v>
      </c>
      <c r="S61" s="1" t="s">
        <v>27</v>
      </c>
      <c r="T61" s="1">
        <v>1</v>
      </c>
      <c r="U61" s="3" t="s">
        <v>28</v>
      </c>
      <c r="V61" s="1" t="s">
        <v>29</v>
      </c>
      <c r="X61" s="1" t="s">
        <v>30</v>
      </c>
      <c r="Y61" s="1">
        <v>59.941018021787997</v>
      </c>
      <c r="Z61" s="1" t="s">
        <v>31</v>
      </c>
    </row>
    <row r="62" spans="1:26">
      <c r="A62" s="1">
        <v>60</v>
      </c>
      <c r="B62" s="1">
        <v>0.5</v>
      </c>
      <c r="C62" s="1">
        <v>4.5</v>
      </c>
      <c r="D62" s="1">
        <v>86.513282583327907</v>
      </c>
      <c r="G62" s="1">
        <v>86.501358750043394</v>
      </c>
      <c r="H62" s="1">
        <v>86.513282583327907</v>
      </c>
      <c r="I62" s="1">
        <v>87.013440208393106</v>
      </c>
      <c r="J62" s="1">
        <v>87.013440208393106</v>
      </c>
      <c r="K62" s="1">
        <v>87.013440208393106</v>
      </c>
      <c r="L62" s="1">
        <v>87.313592916703698</v>
      </c>
      <c r="M62" s="1">
        <v>87.601257666712598</v>
      </c>
      <c r="N62" s="1" t="s">
        <v>32</v>
      </c>
      <c r="O62" s="1">
        <v>4.5</v>
      </c>
      <c r="P62" s="1">
        <v>1</v>
      </c>
      <c r="Q62" s="1">
        <v>1</v>
      </c>
      <c r="R62" s="1">
        <v>0.58288000000175</v>
      </c>
      <c r="S62" s="1" t="s">
        <v>27</v>
      </c>
      <c r="T62" s="1">
        <v>1</v>
      </c>
      <c r="U62" s="3" t="s">
        <v>28</v>
      </c>
      <c r="V62" s="1" t="s">
        <v>29</v>
      </c>
      <c r="X62" s="1" t="s">
        <v>30</v>
      </c>
      <c r="Y62" s="1">
        <v>59.941018021787997</v>
      </c>
      <c r="Z62" s="1" t="s">
        <v>31</v>
      </c>
    </row>
    <row r="63" spans="1:26">
      <c r="A63" s="1">
        <v>61</v>
      </c>
      <c r="B63" s="1">
        <v>0.5</v>
      </c>
      <c r="C63" s="1">
        <v>4</v>
      </c>
      <c r="D63" s="1">
        <v>87.613197791739296</v>
      </c>
      <c r="G63" s="1">
        <v>87.6014261667151</v>
      </c>
      <c r="H63" s="1">
        <v>87.613197791739296</v>
      </c>
      <c r="I63" s="1">
        <v>88.113609291729503</v>
      </c>
      <c r="J63" s="1">
        <v>88.113609291729503</v>
      </c>
      <c r="K63" s="1">
        <v>88.113609291729503</v>
      </c>
      <c r="L63" s="1">
        <v>88.413778666756102</v>
      </c>
      <c r="M63" s="1">
        <v>88.651733000064198</v>
      </c>
      <c r="N63" s="1" t="s">
        <v>26</v>
      </c>
      <c r="O63" s="1">
        <v>-4</v>
      </c>
      <c r="P63" s="1">
        <v>1</v>
      </c>
      <c r="Q63" s="1">
        <v>1</v>
      </c>
      <c r="R63" s="1">
        <v>0.52364937507081699</v>
      </c>
      <c r="S63" s="1" t="s">
        <v>27</v>
      </c>
      <c r="T63" s="1">
        <v>1</v>
      </c>
      <c r="U63" s="3" t="s">
        <v>28</v>
      </c>
      <c r="V63" s="1" t="s">
        <v>29</v>
      </c>
      <c r="X63" s="1" t="s">
        <v>30</v>
      </c>
      <c r="Y63" s="1">
        <v>59.941018021787997</v>
      </c>
      <c r="Z63" s="1" t="s">
        <v>31</v>
      </c>
    </row>
    <row r="64" spans="1:26">
      <c r="A64" s="1">
        <v>62</v>
      </c>
      <c r="B64" s="1">
        <v>0.5</v>
      </c>
      <c r="C64" s="1">
        <v>4</v>
      </c>
      <c r="D64" s="1">
        <v>88.6634889167035</v>
      </c>
      <c r="G64" s="1">
        <v>88.651889500091698</v>
      </c>
      <c r="H64" s="1">
        <v>88.6634889167035</v>
      </c>
      <c r="I64" s="1">
        <v>89.163594166748197</v>
      </c>
      <c r="J64" s="1">
        <v>89.163594166748197</v>
      </c>
      <c r="K64" s="1">
        <v>89.163594166748197</v>
      </c>
      <c r="L64" s="1">
        <v>89.463759708334607</v>
      </c>
      <c r="M64" s="1">
        <v>89.686056333361194</v>
      </c>
      <c r="N64" s="1" t="s">
        <v>26</v>
      </c>
      <c r="O64" s="1">
        <v>-4</v>
      </c>
      <c r="P64" s="1">
        <v>1</v>
      </c>
      <c r="Q64" s="1">
        <v>1</v>
      </c>
      <c r="R64" s="1">
        <v>0.50658062507863999</v>
      </c>
      <c r="S64" s="1" t="s">
        <v>27</v>
      </c>
      <c r="T64" s="1">
        <v>1</v>
      </c>
      <c r="U64" s="3" t="s">
        <v>28</v>
      </c>
      <c r="V64" s="1" t="s">
        <v>29</v>
      </c>
      <c r="X64" s="1" t="s">
        <v>30</v>
      </c>
      <c r="Y64" s="1">
        <v>59.941018021787997</v>
      </c>
      <c r="Z64" s="1" t="s">
        <v>31</v>
      </c>
    </row>
    <row r="65" spans="1:26">
      <c r="A65" s="1">
        <v>63</v>
      </c>
      <c r="B65" s="1">
        <v>0.5</v>
      </c>
      <c r="C65" s="1">
        <v>4</v>
      </c>
      <c r="D65" s="1">
        <v>89.696330625098199</v>
      </c>
      <c r="G65" s="1">
        <v>89.686214375076801</v>
      </c>
      <c r="H65" s="1">
        <v>89.696330625098199</v>
      </c>
      <c r="I65" s="1">
        <v>90.196732958429493</v>
      </c>
      <c r="J65" s="1">
        <v>90.196732958429493</v>
      </c>
      <c r="K65" s="1">
        <v>90.196732958429493</v>
      </c>
      <c r="L65" s="1">
        <v>90.496979708433997</v>
      </c>
      <c r="M65" s="1">
        <v>90.766456249984898</v>
      </c>
      <c r="N65" s="1" t="s">
        <v>26</v>
      </c>
      <c r="O65" s="1">
        <v>-4</v>
      </c>
      <c r="P65" s="1">
        <v>1</v>
      </c>
      <c r="Q65" s="1">
        <v>1</v>
      </c>
      <c r="R65" s="1">
        <v>0.56555633328389299</v>
      </c>
      <c r="S65" s="1" t="s">
        <v>27</v>
      </c>
      <c r="T65" s="1">
        <v>1</v>
      </c>
      <c r="U65" s="3" t="s">
        <v>28</v>
      </c>
      <c r="V65" s="1" t="s">
        <v>29</v>
      </c>
      <c r="X65" s="1" t="s">
        <v>30</v>
      </c>
      <c r="Y65" s="1">
        <v>59.941018021787997</v>
      </c>
      <c r="Z65" s="1" t="s">
        <v>31</v>
      </c>
    </row>
    <row r="66" spans="1:26">
      <c r="A66" s="1">
        <v>64</v>
      </c>
      <c r="B66" s="1">
        <v>0.5</v>
      </c>
      <c r="C66" s="1">
        <v>3.5</v>
      </c>
      <c r="D66" s="1">
        <v>90.780158791690994</v>
      </c>
      <c r="G66" s="1">
        <v>90.766632666694903</v>
      </c>
      <c r="H66" s="1">
        <v>90.780158791690994</v>
      </c>
      <c r="I66" s="1">
        <v>91.280097458395105</v>
      </c>
      <c r="J66" s="1">
        <v>91.280097458395105</v>
      </c>
      <c r="K66" s="1">
        <v>91.280097458395105</v>
      </c>
      <c r="L66" s="1">
        <v>91.580049541662405</v>
      </c>
      <c r="M66" s="1">
        <v>91.803909000009298</v>
      </c>
      <c r="N66" s="1" t="s">
        <v>32</v>
      </c>
      <c r="O66" s="1">
        <v>3.5</v>
      </c>
      <c r="P66" s="1">
        <v>1</v>
      </c>
      <c r="Q66" s="1">
        <v>1</v>
      </c>
      <c r="R66" s="1">
        <v>0.50907287502195597</v>
      </c>
      <c r="S66" s="1" t="s">
        <v>27</v>
      </c>
      <c r="T66" s="1">
        <v>1</v>
      </c>
      <c r="U66" s="3" t="s">
        <v>28</v>
      </c>
      <c r="V66" s="1" t="s">
        <v>29</v>
      </c>
      <c r="X66" s="1" t="s">
        <v>30</v>
      </c>
      <c r="Y66" s="1">
        <v>59.941018021787997</v>
      </c>
      <c r="Z66" s="1" t="s">
        <v>31</v>
      </c>
    </row>
    <row r="67" spans="1:26">
      <c r="A67" s="1">
        <v>65</v>
      </c>
      <c r="B67" s="1">
        <v>0.5</v>
      </c>
      <c r="C67" s="1">
        <v>3.5</v>
      </c>
      <c r="D67" s="1">
        <v>91.813076083431895</v>
      </c>
      <c r="G67" s="1">
        <v>91.804116916726301</v>
      </c>
      <c r="H67" s="1">
        <v>91.813076083431895</v>
      </c>
      <c r="I67" s="1">
        <v>92.313595416722805</v>
      </c>
      <c r="J67" s="1">
        <v>92.313595416722805</v>
      </c>
      <c r="K67" s="1">
        <v>92.313595416722805</v>
      </c>
      <c r="L67" s="1">
        <v>92.613366000005001</v>
      </c>
      <c r="M67" s="1">
        <v>92.949655208387398</v>
      </c>
      <c r="N67" s="1" t="s">
        <v>32</v>
      </c>
      <c r="O67" s="1">
        <v>3.5</v>
      </c>
      <c r="P67" s="1">
        <v>1</v>
      </c>
      <c r="Q67" s="1">
        <v>1</v>
      </c>
      <c r="R67" s="1">
        <v>0.63350129162427005</v>
      </c>
      <c r="S67" s="1" t="s">
        <v>27</v>
      </c>
      <c r="T67" s="1">
        <v>1</v>
      </c>
      <c r="U67" s="3" t="s">
        <v>28</v>
      </c>
      <c r="V67" s="1" t="s">
        <v>29</v>
      </c>
      <c r="X67" s="1" t="s">
        <v>30</v>
      </c>
      <c r="Y67" s="1">
        <v>59.941018021787997</v>
      </c>
      <c r="Z67" s="1" t="s">
        <v>31</v>
      </c>
    </row>
    <row r="68" spans="1:26">
      <c r="A68" s="1">
        <v>66</v>
      </c>
      <c r="B68" s="1">
        <v>0.5</v>
      </c>
      <c r="C68" s="1">
        <v>3.5</v>
      </c>
      <c r="D68" s="1">
        <v>92.965605791658106</v>
      </c>
      <c r="G68" s="1">
        <v>92.949823416653004</v>
      </c>
      <c r="H68" s="1">
        <v>92.965605791658106</v>
      </c>
      <c r="I68" s="1">
        <v>93.463469916721806</v>
      </c>
      <c r="J68" s="1">
        <v>93.463469916721806</v>
      </c>
      <c r="K68" s="1">
        <v>93.480098791653205</v>
      </c>
      <c r="L68" s="1">
        <v>93.763421458425</v>
      </c>
      <c r="M68" s="1">
        <v>94.003497416735598</v>
      </c>
      <c r="N68" s="1" t="s">
        <v>32</v>
      </c>
      <c r="O68" s="1">
        <v>3.5</v>
      </c>
      <c r="P68" s="1">
        <v>1</v>
      </c>
      <c r="Q68" s="1">
        <v>1</v>
      </c>
      <c r="R68" s="1">
        <v>0.52060874993912798</v>
      </c>
      <c r="S68" s="1" t="s">
        <v>27</v>
      </c>
      <c r="T68" s="1">
        <v>1</v>
      </c>
      <c r="U68" s="3" t="s">
        <v>28</v>
      </c>
      <c r="V68" s="1" t="s">
        <v>29</v>
      </c>
      <c r="X68" s="1" t="s">
        <v>30</v>
      </c>
      <c r="Y68" s="1">
        <v>59.941018021787997</v>
      </c>
      <c r="Z68" s="1" t="s">
        <v>31</v>
      </c>
    </row>
    <row r="69" spans="1:26">
      <c r="A69" s="1">
        <v>67</v>
      </c>
      <c r="B69" s="1">
        <v>0.5</v>
      </c>
      <c r="C69" s="1">
        <v>3</v>
      </c>
      <c r="D69" s="1">
        <v>94.013084250036599</v>
      </c>
      <c r="G69" s="1">
        <v>94.003672874998301</v>
      </c>
      <c r="H69" s="1">
        <v>94.013084250036599</v>
      </c>
      <c r="I69" s="1">
        <v>94.513415958383106</v>
      </c>
      <c r="J69" s="1">
        <v>94.513415958383106</v>
      </c>
      <c r="K69" s="1">
        <v>94.513415958383106</v>
      </c>
      <c r="L69" s="1">
        <v>94.813724875100803</v>
      </c>
      <c r="M69" s="1">
        <v>95.086059250053907</v>
      </c>
      <c r="N69" s="1" t="s">
        <v>26</v>
      </c>
      <c r="O69" s="1">
        <v>-3</v>
      </c>
      <c r="P69" s="1">
        <v>1</v>
      </c>
      <c r="Q69" s="1">
        <v>1</v>
      </c>
      <c r="R69" s="1">
        <v>0.55867562501225598</v>
      </c>
      <c r="S69" s="1" t="s">
        <v>27</v>
      </c>
      <c r="T69" s="1">
        <v>1</v>
      </c>
      <c r="U69" s="3" t="s">
        <v>28</v>
      </c>
      <c r="V69" s="1" t="s">
        <v>29</v>
      </c>
      <c r="X69" s="1" t="s">
        <v>30</v>
      </c>
      <c r="Y69" s="1">
        <v>59.941018021787997</v>
      </c>
      <c r="Z69" s="1" t="s">
        <v>31</v>
      </c>
    </row>
    <row r="70" spans="1:26">
      <c r="A70" s="1">
        <v>68</v>
      </c>
      <c r="B70" s="1">
        <v>0.5</v>
      </c>
      <c r="C70" s="1">
        <v>3</v>
      </c>
      <c r="D70" s="1">
        <v>95.096367000020095</v>
      </c>
      <c r="G70" s="1">
        <v>95.086223791702594</v>
      </c>
      <c r="H70" s="1">
        <v>95.096367000020095</v>
      </c>
      <c r="I70" s="1">
        <v>95.596858583390699</v>
      </c>
      <c r="J70" s="1">
        <v>95.596858583390699</v>
      </c>
      <c r="K70" s="1">
        <v>95.596858583390699</v>
      </c>
      <c r="L70" s="1">
        <v>95.896792541723698</v>
      </c>
      <c r="M70" s="1">
        <v>96.202219791710306</v>
      </c>
      <c r="N70" s="1" t="s">
        <v>32</v>
      </c>
      <c r="O70" s="1">
        <v>3</v>
      </c>
      <c r="P70" s="1">
        <v>1</v>
      </c>
      <c r="Q70" s="1">
        <v>1</v>
      </c>
      <c r="R70" s="1">
        <v>0.59318283328320798</v>
      </c>
      <c r="S70" s="1" t="s">
        <v>27</v>
      </c>
      <c r="T70" s="1">
        <v>1</v>
      </c>
      <c r="U70" s="3" t="s">
        <v>28</v>
      </c>
      <c r="V70" s="1" t="s">
        <v>29</v>
      </c>
      <c r="X70" s="1" t="s">
        <v>30</v>
      </c>
      <c r="Y70" s="1">
        <v>59.941018021787997</v>
      </c>
      <c r="Z70" s="1" t="s">
        <v>31</v>
      </c>
    </row>
    <row r="71" spans="1:26">
      <c r="A71" s="1">
        <v>69</v>
      </c>
      <c r="B71" s="1">
        <v>0.5</v>
      </c>
      <c r="C71" s="1">
        <v>3</v>
      </c>
      <c r="D71" s="1">
        <v>96.213520999997797</v>
      </c>
      <c r="G71" s="1">
        <v>96.202404291718196</v>
      </c>
      <c r="H71" s="1">
        <v>96.213520999997797</v>
      </c>
      <c r="I71" s="1">
        <v>96.7192519584205</v>
      </c>
      <c r="J71" s="1">
        <v>96.7192519584205</v>
      </c>
      <c r="K71" s="1">
        <v>96.7192519584205</v>
      </c>
      <c r="L71" s="1">
        <v>97.030152791761793</v>
      </c>
      <c r="M71" s="1">
        <v>97.319082791684195</v>
      </c>
      <c r="N71" s="1" t="s">
        <v>26</v>
      </c>
      <c r="O71" s="1">
        <v>-3</v>
      </c>
      <c r="P71" s="1">
        <v>1</v>
      </c>
      <c r="Q71" s="1">
        <v>1</v>
      </c>
      <c r="R71" s="1">
        <v>0.58787912491243299</v>
      </c>
      <c r="S71" s="1" t="s">
        <v>27</v>
      </c>
      <c r="T71" s="1">
        <v>1</v>
      </c>
      <c r="U71" s="3" t="s">
        <v>28</v>
      </c>
      <c r="V71" s="1" t="s">
        <v>29</v>
      </c>
      <c r="X71" s="1" t="s">
        <v>30</v>
      </c>
      <c r="Y71" s="1">
        <v>59.941018021787997</v>
      </c>
      <c r="Z71" s="1" t="s">
        <v>31</v>
      </c>
    </row>
    <row r="72" spans="1:26">
      <c r="A72" s="1">
        <v>70</v>
      </c>
      <c r="B72" s="1">
        <v>0.5</v>
      </c>
      <c r="C72" s="1">
        <v>2.5</v>
      </c>
      <c r="D72" s="1">
        <v>97.330131208407593</v>
      </c>
      <c r="G72" s="1">
        <v>97.319272499997098</v>
      </c>
      <c r="H72" s="1">
        <v>97.330131208407593</v>
      </c>
      <c r="I72" s="1">
        <v>97.830238625057902</v>
      </c>
      <c r="J72" s="1">
        <v>97.830238625057902</v>
      </c>
      <c r="K72" s="1">
        <v>97.830238625057902</v>
      </c>
      <c r="L72" s="1">
        <v>98.130349791725095</v>
      </c>
      <c r="M72" s="1">
        <v>98.401129708392503</v>
      </c>
      <c r="N72" s="1" t="s">
        <v>32</v>
      </c>
      <c r="O72" s="1">
        <v>2.5</v>
      </c>
      <c r="P72" s="1">
        <v>1</v>
      </c>
      <c r="Q72" s="1">
        <v>1</v>
      </c>
      <c r="R72" s="1">
        <v>0.56576862500514802</v>
      </c>
      <c r="S72" s="1" t="s">
        <v>27</v>
      </c>
      <c r="T72" s="1">
        <v>1</v>
      </c>
      <c r="U72" s="3" t="s">
        <v>28</v>
      </c>
      <c r="V72" s="1" t="s">
        <v>29</v>
      </c>
      <c r="X72" s="1" t="s">
        <v>30</v>
      </c>
      <c r="Y72" s="1">
        <v>59.941018021787997</v>
      </c>
      <c r="Z72" s="1" t="s">
        <v>31</v>
      </c>
    </row>
    <row r="73" spans="1:26">
      <c r="A73" s="1">
        <v>71</v>
      </c>
      <c r="B73" s="1">
        <v>0.5</v>
      </c>
      <c r="C73" s="1">
        <v>2.5</v>
      </c>
      <c r="D73" s="1">
        <v>98.413061541737903</v>
      </c>
      <c r="G73" s="1">
        <v>98.401296291733104</v>
      </c>
      <c r="H73" s="1">
        <v>98.413061541737903</v>
      </c>
      <c r="I73" s="1">
        <v>98.913422625046195</v>
      </c>
      <c r="J73" s="1">
        <v>98.913422625046195</v>
      </c>
      <c r="K73" s="1">
        <v>98.913422625046195</v>
      </c>
      <c r="L73" s="1">
        <v>99.213389125070506</v>
      </c>
      <c r="M73" s="1">
        <v>99.452072874992098</v>
      </c>
      <c r="N73" s="1" t="s">
        <v>26</v>
      </c>
      <c r="O73" s="1">
        <v>-2.5</v>
      </c>
      <c r="P73" s="1">
        <v>1</v>
      </c>
      <c r="Q73" s="1">
        <v>1</v>
      </c>
      <c r="R73" s="1">
        <v>0.52357149997260399</v>
      </c>
      <c r="S73" s="1" t="s">
        <v>27</v>
      </c>
      <c r="T73" s="1">
        <v>1</v>
      </c>
      <c r="U73" s="3" t="s">
        <v>28</v>
      </c>
      <c r="V73" s="1" t="s">
        <v>29</v>
      </c>
      <c r="X73" s="1" t="s">
        <v>30</v>
      </c>
      <c r="Y73" s="1">
        <v>59.941018021787997</v>
      </c>
      <c r="Z73" s="1" t="s">
        <v>31</v>
      </c>
    </row>
    <row r="74" spans="1:26">
      <c r="A74" s="1">
        <v>72</v>
      </c>
      <c r="B74" s="1">
        <v>0.5</v>
      </c>
      <c r="C74" s="1">
        <v>2.5</v>
      </c>
      <c r="D74" s="1">
        <v>99.463479916681493</v>
      </c>
      <c r="G74" s="1">
        <v>99.452235458418698</v>
      </c>
      <c r="H74" s="1">
        <v>99.463479916681493</v>
      </c>
      <c r="I74" s="1">
        <v>99.963626458426006</v>
      </c>
      <c r="J74" s="1">
        <v>99.963626458426006</v>
      </c>
      <c r="K74" s="1">
        <v>99.963626458426006</v>
      </c>
      <c r="L74" s="1">
        <v>100.263502500019</v>
      </c>
      <c r="M74" s="1">
        <v>100.619370125001</v>
      </c>
      <c r="N74" s="1" t="s">
        <v>26</v>
      </c>
      <c r="O74" s="1">
        <v>-2.5</v>
      </c>
      <c r="P74" s="1">
        <v>1</v>
      </c>
      <c r="Q74" s="1">
        <v>1</v>
      </c>
      <c r="R74" s="1">
        <v>0.63733625004533601</v>
      </c>
      <c r="S74" s="1" t="s">
        <v>27</v>
      </c>
      <c r="T74" s="1">
        <v>1</v>
      </c>
      <c r="U74" s="3" t="s">
        <v>28</v>
      </c>
      <c r="V74" s="1" t="s">
        <v>29</v>
      </c>
      <c r="X74" s="1" t="s">
        <v>30</v>
      </c>
      <c r="Y74" s="1">
        <v>59.941018021787997</v>
      </c>
      <c r="Z74" s="1" t="s">
        <v>31</v>
      </c>
    </row>
    <row r="75" spans="1:26">
      <c r="A75" s="1">
        <v>73</v>
      </c>
      <c r="B75" s="1">
        <v>0.5</v>
      </c>
      <c r="C75" s="1">
        <v>2</v>
      </c>
      <c r="D75" s="1">
        <v>100.629712541704</v>
      </c>
      <c r="G75" s="1">
        <v>100.61953520833001</v>
      </c>
      <c r="H75" s="1">
        <v>100.629712541704</v>
      </c>
      <c r="I75" s="1">
        <v>101.130269541754</v>
      </c>
      <c r="J75" s="1">
        <v>101.130269541754</v>
      </c>
      <c r="K75" s="1">
        <v>101.130269541754</v>
      </c>
      <c r="L75" s="1">
        <v>101.43023633339899</v>
      </c>
      <c r="M75" s="1">
        <v>101.719439541688</v>
      </c>
      <c r="N75" s="1" t="s">
        <v>32</v>
      </c>
      <c r="O75" s="1">
        <v>2</v>
      </c>
      <c r="P75" s="1">
        <v>1</v>
      </c>
      <c r="Q75" s="1">
        <v>1</v>
      </c>
      <c r="R75" s="1">
        <v>0.57673433329909995</v>
      </c>
      <c r="S75" s="1" t="s">
        <v>27</v>
      </c>
      <c r="T75" s="1">
        <v>1</v>
      </c>
      <c r="U75" s="3" t="s">
        <v>28</v>
      </c>
      <c r="V75" s="1" t="s">
        <v>29</v>
      </c>
      <c r="X75" s="1" t="s">
        <v>30</v>
      </c>
      <c r="Y75" s="1">
        <v>59.941018021787997</v>
      </c>
      <c r="Z75" s="1" t="s">
        <v>31</v>
      </c>
    </row>
    <row r="76" spans="1:26">
      <c r="A76" s="1">
        <v>74</v>
      </c>
      <c r="B76" s="1">
        <v>0.5</v>
      </c>
      <c r="C76" s="1">
        <v>2</v>
      </c>
      <c r="D76" s="1">
        <v>101.72970158339</v>
      </c>
      <c r="G76" s="1">
        <v>101.719600208336</v>
      </c>
      <c r="H76" s="1">
        <v>101.72970158339</v>
      </c>
      <c r="I76" s="1">
        <v>102.230253625079</v>
      </c>
      <c r="J76" s="1">
        <v>102.230253625079</v>
      </c>
      <c r="K76" s="1">
        <v>102.230253625079</v>
      </c>
      <c r="L76" s="1">
        <v>102.530200708424</v>
      </c>
      <c r="M76" s="1">
        <v>102.85125241673001</v>
      </c>
      <c r="N76" s="1" t="s">
        <v>32</v>
      </c>
      <c r="O76" s="1">
        <v>2</v>
      </c>
      <c r="P76" s="1">
        <v>1</v>
      </c>
      <c r="Q76" s="1">
        <v>1</v>
      </c>
      <c r="R76" s="1">
        <v>0.61066637502517496</v>
      </c>
      <c r="S76" s="1" t="s">
        <v>27</v>
      </c>
      <c r="T76" s="1">
        <v>1</v>
      </c>
      <c r="U76" s="3" t="s">
        <v>28</v>
      </c>
      <c r="V76" s="1" t="s">
        <v>29</v>
      </c>
      <c r="X76" s="1" t="s">
        <v>30</v>
      </c>
      <c r="Y76" s="1">
        <v>59.941018021787997</v>
      </c>
      <c r="Z76" s="1" t="s">
        <v>31</v>
      </c>
    </row>
    <row r="77" spans="1:26">
      <c r="A77" s="1">
        <v>75</v>
      </c>
      <c r="B77" s="1">
        <v>0.5</v>
      </c>
      <c r="C77" s="1">
        <v>2</v>
      </c>
      <c r="D77" s="1">
        <v>102.863116958411</v>
      </c>
      <c r="G77" s="1">
        <v>102.851418500067</v>
      </c>
      <c r="H77" s="1">
        <v>102.863116958411</v>
      </c>
      <c r="I77" s="1">
        <v>103.363325208425</v>
      </c>
      <c r="J77" s="1">
        <v>103.363325208425</v>
      </c>
      <c r="K77" s="1">
        <v>103.363325208425</v>
      </c>
      <c r="L77" s="1">
        <v>103.66362716676601</v>
      </c>
      <c r="M77" s="1">
        <v>103.852464625029</v>
      </c>
      <c r="N77" s="1" t="s">
        <v>32</v>
      </c>
      <c r="O77" s="1">
        <v>2</v>
      </c>
      <c r="P77" s="1">
        <v>1</v>
      </c>
      <c r="Q77" s="1">
        <v>1</v>
      </c>
      <c r="R77" s="1">
        <v>0.47174062510020998</v>
      </c>
      <c r="S77" s="1" t="s">
        <v>27</v>
      </c>
      <c r="T77" s="1">
        <v>1</v>
      </c>
      <c r="U77" s="3" t="s">
        <v>28</v>
      </c>
      <c r="V77" s="1" t="s">
        <v>29</v>
      </c>
      <c r="X77" s="1" t="s">
        <v>30</v>
      </c>
      <c r="Y77" s="1">
        <v>59.941018021787997</v>
      </c>
      <c r="Z77" s="1" t="s">
        <v>31</v>
      </c>
    </row>
    <row r="78" spans="1:26">
      <c r="A78" s="1">
        <v>76</v>
      </c>
      <c r="B78" s="1">
        <v>0.5</v>
      </c>
      <c r="C78" s="1">
        <v>1.5</v>
      </c>
      <c r="D78" s="1">
        <v>103.863031166722</v>
      </c>
      <c r="G78" s="1">
        <v>103.852638916694</v>
      </c>
      <c r="H78" s="1">
        <v>103.863031166722</v>
      </c>
      <c r="I78" s="1">
        <v>104.36340537504201</v>
      </c>
      <c r="J78" s="1">
        <v>104.36340537504201</v>
      </c>
      <c r="K78" s="1">
        <v>104.36340537504201</v>
      </c>
      <c r="L78" s="1">
        <v>104.66356654174101</v>
      </c>
      <c r="M78" s="1">
        <v>105.00305758335099</v>
      </c>
      <c r="N78" s="1" t="s">
        <v>32</v>
      </c>
      <c r="O78" s="1">
        <v>1.5</v>
      </c>
      <c r="P78" s="1">
        <v>1</v>
      </c>
      <c r="Q78" s="1">
        <v>1</v>
      </c>
      <c r="R78" s="1">
        <v>0.62347541667986595</v>
      </c>
      <c r="S78" s="1" t="s">
        <v>27</v>
      </c>
      <c r="T78" s="1">
        <v>1</v>
      </c>
      <c r="U78" s="3" t="s">
        <v>28</v>
      </c>
      <c r="V78" s="1" t="s">
        <v>29</v>
      </c>
      <c r="X78" s="1" t="s">
        <v>30</v>
      </c>
      <c r="Y78" s="1">
        <v>59.941018021787997</v>
      </c>
      <c r="Z78" s="1" t="s">
        <v>31</v>
      </c>
    </row>
    <row r="79" spans="1:26">
      <c r="A79" s="1">
        <v>77</v>
      </c>
      <c r="B79" s="1">
        <v>0.5</v>
      </c>
      <c r="C79" s="1">
        <v>1.5</v>
      </c>
      <c r="D79" s="1">
        <v>105.01309500006001</v>
      </c>
      <c r="G79" s="1">
        <v>105.003273250069</v>
      </c>
      <c r="H79" s="1">
        <v>105.01309500006001</v>
      </c>
      <c r="I79" s="1">
        <v>105.513491916703</v>
      </c>
      <c r="J79" s="1">
        <v>105.513491916703</v>
      </c>
      <c r="K79" s="1">
        <v>105.513491916703</v>
      </c>
      <c r="L79" s="1">
        <v>105.813424625084</v>
      </c>
      <c r="M79" s="1">
        <v>106.150162708363</v>
      </c>
      <c r="N79" s="1" t="s">
        <v>32</v>
      </c>
      <c r="O79" s="1">
        <v>1.5</v>
      </c>
      <c r="P79" s="1">
        <v>1</v>
      </c>
      <c r="Q79" s="1">
        <v>1</v>
      </c>
      <c r="R79" s="1">
        <v>0.62936529167927802</v>
      </c>
      <c r="S79" s="1" t="s">
        <v>27</v>
      </c>
      <c r="T79" s="1">
        <v>1</v>
      </c>
      <c r="U79" s="3" t="s">
        <v>28</v>
      </c>
      <c r="V79" s="1" t="s">
        <v>29</v>
      </c>
      <c r="X79" s="1" t="s">
        <v>30</v>
      </c>
      <c r="Y79" s="1">
        <v>59.941018021787997</v>
      </c>
      <c r="Z79" s="1" t="s">
        <v>31</v>
      </c>
    </row>
    <row r="80" spans="1:26">
      <c r="A80" s="1">
        <v>78</v>
      </c>
      <c r="B80" s="1">
        <v>0.5</v>
      </c>
      <c r="C80" s="1">
        <v>1.5</v>
      </c>
      <c r="D80" s="1">
        <v>106.16340104176101</v>
      </c>
      <c r="G80" s="1">
        <v>106.150352333323</v>
      </c>
      <c r="H80" s="1">
        <v>106.16340104176101</v>
      </c>
      <c r="I80" s="1">
        <v>106.66348537499999</v>
      </c>
      <c r="J80" s="1">
        <v>106.66348537499999</v>
      </c>
      <c r="K80" s="1">
        <v>106.66348537499999</v>
      </c>
      <c r="L80" s="1">
        <v>106.96347679174499</v>
      </c>
      <c r="M80" s="1">
        <v>108.034994666697</v>
      </c>
      <c r="N80" s="1" t="s">
        <v>32</v>
      </c>
      <c r="O80" s="1">
        <v>1.5</v>
      </c>
      <c r="P80" s="1">
        <v>1</v>
      </c>
      <c r="Q80" s="1">
        <v>1</v>
      </c>
      <c r="R80" s="1">
        <v>1.3614038333762399</v>
      </c>
      <c r="S80" s="1" t="s">
        <v>27</v>
      </c>
      <c r="T80" s="1">
        <v>1</v>
      </c>
      <c r="U80" s="3" t="s">
        <v>28</v>
      </c>
      <c r="V80" s="1" t="s">
        <v>29</v>
      </c>
      <c r="X80" s="1" t="s">
        <v>30</v>
      </c>
      <c r="Y80" s="1">
        <v>59.941018021787997</v>
      </c>
      <c r="Z80" s="1" t="s">
        <v>31</v>
      </c>
    </row>
    <row r="81" spans="1:26">
      <c r="A81" s="1">
        <v>79</v>
      </c>
      <c r="B81" s="1">
        <v>0.5</v>
      </c>
      <c r="C81" s="1">
        <v>1</v>
      </c>
      <c r="D81" s="1">
        <v>108.046416875091</v>
      </c>
      <c r="G81" s="1">
        <v>108.035165250068</v>
      </c>
      <c r="H81" s="1">
        <v>108.046416875091</v>
      </c>
      <c r="I81" s="1">
        <v>108.546944916713</v>
      </c>
      <c r="J81" s="1">
        <v>108.546944916713</v>
      </c>
      <c r="K81" s="1">
        <v>108.546944916713</v>
      </c>
      <c r="L81" s="1">
        <v>108.846755291684</v>
      </c>
      <c r="M81" s="1">
        <v>109.33591575000899</v>
      </c>
      <c r="N81" s="1" t="s">
        <v>26</v>
      </c>
      <c r="O81" s="1">
        <v>-1</v>
      </c>
      <c r="P81" s="1">
        <v>1</v>
      </c>
      <c r="Q81" s="1">
        <v>1</v>
      </c>
      <c r="R81" s="1">
        <v>0.77088245830964297</v>
      </c>
      <c r="S81" s="1" t="s">
        <v>27</v>
      </c>
      <c r="T81" s="1">
        <v>1</v>
      </c>
      <c r="U81" s="3" t="s">
        <v>28</v>
      </c>
      <c r="V81" s="1" t="s">
        <v>29</v>
      </c>
      <c r="X81" s="1" t="s">
        <v>30</v>
      </c>
      <c r="Y81" s="1">
        <v>59.941018021787997</v>
      </c>
      <c r="Z81" s="1" t="s">
        <v>31</v>
      </c>
    </row>
    <row r="82" spans="1:26">
      <c r="A82" s="1">
        <v>80</v>
      </c>
      <c r="B82" s="1">
        <v>0.5</v>
      </c>
      <c r="C82" s="1">
        <v>1</v>
      </c>
      <c r="D82" s="1">
        <v>109.34642229171</v>
      </c>
      <c r="G82" s="1">
        <v>109.336078083375</v>
      </c>
      <c r="H82" s="1">
        <v>109.34642229171</v>
      </c>
      <c r="I82" s="1">
        <v>109.84681483334801</v>
      </c>
      <c r="J82" s="1">
        <v>109.84681483334801</v>
      </c>
      <c r="K82" s="1">
        <v>109.84681483334801</v>
      </c>
      <c r="L82" s="1">
        <v>110.14672550000201</v>
      </c>
      <c r="M82" s="1">
        <v>110.518692458397</v>
      </c>
      <c r="N82" s="1" t="s">
        <v>26</v>
      </c>
      <c r="O82" s="1">
        <v>-1</v>
      </c>
      <c r="P82" s="1">
        <v>1</v>
      </c>
      <c r="Q82" s="1">
        <v>1</v>
      </c>
      <c r="R82" s="1">
        <v>0.65892291662748903</v>
      </c>
      <c r="S82" s="1" t="s">
        <v>27</v>
      </c>
      <c r="T82" s="1">
        <v>1</v>
      </c>
      <c r="U82" s="3" t="s">
        <v>28</v>
      </c>
      <c r="V82" s="1" t="s">
        <v>29</v>
      </c>
      <c r="X82" s="1" t="s">
        <v>30</v>
      </c>
      <c r="Y82" s="1">
        <v>59.941018021787997</v>
      </c>
      <c r="Z82" s="1" t="s">
        <v>31</v>
      </c>
    </row>
    <row r="83" spans="1:26">
      <c r="A83" s="1">
        <v>81</v>
      </c>
      <c r="B83" s="1">
        <v>0.5</v>
      </c>
      <c r="C83" s="1">
        <v>1</v>
      </c>
      <c r="D83" s="1">
        <v>110.53013570839499</v>
      </c>
      <c r="G83" s="1">
        <v>110.51885762508</v>
      </c>
      <c r="H83" s="1">
        <v>110.53013570839499</v>
      </c>
      <c r="I83" s="1">
        <v>111.03010337508699</v>
      </c>
      <c r="J83" s="1">
        <v>111.03010337508699</v>
      </c>
      <c r="K83" s="1">
        <v>111.03010337508699</v>
      </c>
      <c r="L83" s="1">
        <v>111.330220000003</v>
      </c>
      <c r="M83" s="1">
        <v>111.80250279174599</v>
      </c>
      <c r="N83" s="1" t="s">
        <v>26</v>
      </c>
      <c r="O83" s="1">
        <v>-1</v>
      </c>
      <c r="P83" s="1">
        <v>1</v>
      </c>
      <c r="Q83" s="1">
        <v>1</v>
      </c>
      <c r="R83" s="1">
        <v>0.75561391666997202</v>
      </c>
      <c r="S83" s="1" t="s">
        <v>27</v>
      </c>
      <c r="T83" s="1">
        <v>1</v>
      </c>
      <c r="U83" s="3" t="s">
        <v>28</v>
      </c>
      <c r="V83" s="1" t="s">
        <v>29</v>
      </c>
      <c r="X83" s="1" t="s">
        <v>30</v>
      </c>
      <c r="Y83" s="1">
        <v>59.941018021787997</v>
      </c>
      <c r="Z83" s="1" t="s">
        <v>31</v>
      </c>
    </row>
    <row r="84" spans="1:26">
      <c r="A84" s="1">
        <v>82</v>
      </c>
      <c r="B84" s="1">
        <v>0.5</v>
      </c>
      <c r="C84" s="1">
        <v>1</v>
      </c>
      <c r="D84" s="1">
        <v>111.812929583364</v>
      </c>
      <c r="G84" s="1">
        <v>111.802663541748</v>
      </c>
      <c r="H84" s="1">
        <v>111.812929583364</v>
      </c>
      <c r="I84" s="1">
        <v>112.31353004171901</v>
      </c>
      <c r="J84" s="1">
        <v>112.31353004171901</v>
      </c>
      <c r="K84" s="1">
        <v>112.31353004171901</v>
      </c>
      <c r="L84" s="1">
        <v>112.613464291673</v>
      </c>
      <c r="M84" s="1">
        <v>112.95132312504499</v>
      </c>
      <c r="N84" s="1" t="s">
        <v>32</v>
      </c>
      <c r="O84" s="1">
        <v>1</v>
      </c>
      <c r="P84" s="1">
        <v>0</v>
      </c>
      <c r="Q84" s="1">
        <v>0</v>
      </c>
      <c r="R84" s="1">
        <v>0.629324874957092</v>
      </c>
      <c r="S84" s="1" t="s">
        <v>27</v>
      </c>
      <c r="T84" s="1">
        <v>1</v>
      </c>
      <c r="U84" s="3" t="s">
        <v>28</v>
      </c>
      <c r="V84" s="1" t="s">
        <v>29</v>
      </c>
      <c r="X84" s="1" t="s">
        <v>30</v>
      </c>
      <c r="Y84" s="1">
        <v>59.941018021787997</v>
      </c>
      <c r="Z84" s="1" t="s">
        <v>31</v>
      </c>
    </row>
    <row r="85" spans="1:26">
      <c r="A85" s="1">
        <v>83</v>
      </c>
      <c r="B85" s="1">
        <v>0.5</v>
      </c>
      <c r="C85" s="1">
        <v>1.5</v>
      </c>
      <c r="D85" s="1">
        <v>112.963111708406</v>
      </c>
      <c r="G85" s="1">
        <v>112.951513625099</v>
      </c>
      <c r="H85" s="1">
        <v>112.963111708406</v>
      </c>
      <c r="I85" s="1">
        <v>113.463540083379</v>
      </c>
      <c r="J85" s="1">
        <v>113.463540083379</v>
      </c>
      <c r="K85" s="1">
        <v>113.463540083379</v>
      </c>
      <c r="L85" s="1">
        <v>113.76348225004</v>
      </c>
      <c r="M85" s="1">
        <v>114.199356500059</v>
      </c>
      <c r="N85" s="1" t="s">
        <v>26</v>
      </c>
      <c r="O85" s="1">
        <v>-1.5</v>
      </c>
      <c r="P85" s="1">
        <v>1</v>
      </c>
      <c r="Q85" s="1">
        <v>1</v>
      </c>
      <c r="R85" s="1">
        <v>0.72819225001148802</v>
      </c>
      <c r="S85" s="1" t="s">
        <v>27</v>
      </c>
      <c r="T85" s="1">
        <v>1</v>
      </c>
      <c r="U85" s="3" t="s">
        <v>28</v>
      </c>
      <c r="V85" s="1" t="s">
        <v>29</v>
      </c>
      <c r="X85" s="1" t="s">
        <v>30</v>
      </c>
      <c r="Y85" s="1">
        <v>59.941018021787997</v>
      </c>
      <c r="Z85" s="1" t="s">
        <v>31</v>
      </c>
    </row>
    <row r="86" spans="1:26">
      <c r="A86" s="1">
        <v>84</v>
      </c>
      <c r="B86" s="1">
        <v>0.5</v>
      </c>
      <c r="C86" s="1">
        <v>1.5</v>
      </c>
      <c r="D86" s="1">
        <v>114.21343358338299</v>
      </c>
      <c r="G86" s="1">
        <v>114.199450208339</v>
      </c>
      <c r="H86" s="1">
        <v>114.21343358338299</v>
      </c>
      <c r="I86" s="1">
        <v>114.713552750064</v>
      </c>
      <c r="J86" s="1">
        <v>114.713552750064</v>
      </c>
      <c r="K86" s="1">
        <v>114.713552750064</v>
      </c>
      <c r="L86" s="1">
        <v>115.01443612505599</v>
      </c>
      <c r="M86" s="1">
        <v>115.38422658341</v>
      </c>
      <c r="N86" s="1" t="s">
        <v>32</v>
      </c>
      <c r="O86" s="1">
        <v>1.5</v>
      </c>
      <c r="P86" s="1">
        <v>0</v>
      </c>
      <c r="Q86" s="1">
        <v>0</v>
      </c>
      <c r="R86" s="1">
        <v>0.66818254173267599</v>
      </c>
      <c r="S86" s="1" t="s">
        <v>27</v>
      </c>
      <c r="T86" s="1">
        <v>1</v>
      </c>
      <c r="U86" s="3" t="s">
        <v>28</v>
      </c>
      <c r="V86" s="1" t="s">
        <v>29</v>
      </c>
      <c r="X86" s="1" t="s">
        <v>30</v>
      </c>
      <c r="Y86" s="1">
        <v>59.941018021787997</v>
      </c>
      <c r="Z86" s="1" t="s">
        <v>31</v>
      </c>
    </row>
    <row r="87" spans="1:26">
      <c r="A87" s="1">
        <v>85</v>
      </c>
      <c r="B87" s="1">
        <v>0.5</v>
      </c>
      <c r="C87" s="1">
        <v>2</v>
      </c>
      <c r="D87" s="1">
        <v>115.40005512500601</v>
      </c>
      <c r="G87" s="1">
        <v>115.38444820837999</v>
      </c>
      <c r="H87" s="1">
        <v>115.40005512500601</v>
      </c>
      <c r="I87" s="1">
        <v>115.89715612505</v>
      </c>
      <c r="J87" s="1">
        <v>115.89715612505</v>
      </c>
      <c r="K87" s="1">
        <v>115.913902916712</v>
      </c>
      <c r="L87" s="1">
        <v>116.197190708364</v>
      </c>
      <c r="M87" s="1">
        <v>116.785663166665</v>
      </c>
      <c r="N87" s="1" t="s">
        <v>26</v>
      </c>
      <c r="O87" s="1">
        <v>-2</v>
      </c>
      <c r="P87" s="1">
        <v>1</v>
      </c>
      <c r="Q87" s="1">
        <v>1</v>
      </c>
      <c r="R87" s="1">
        <v>0.87644866667687804</v>
      </c>
      <c r="S87" s="1" t="s">
        <v>27</v>
      </c>
      <c r="T87" s="1">
        <v>1</v>
      </c>
      <c r="U87" s="3" t="s">
        <v>28</v>
      </c>
      <c r="V87" s="1" t="s">
        <v>29</v>
      </c>
      <c r="X87" s="1" t="s">
        <v>30</v>
      </c>
      <c r="Y87" s="1">
        <v>59.941018021787997</v>
      </c>
      <c r="Z87" s="1" t="s">
        <v>31</v>
      </c>
    </row>
    <row r="88" spans="1:26">
      <c r="A88" s="1">
        <v>86</v>
      </c>
      <c r="B88" s="1">
        <v>0.5</v>
      </c>
      <c r="C88" s="1">
        <v>2</v>
      </c>
      <c r="D88" s="1">
        <v>116.797031750087</v>
      </c>
      <c r="G88" s="1">
        <v>116.78585104166901</v>
      </c>
      <c r="H88" s="1">
        <v>116.797031750087</v>
      </c>
      <c r="I88" s="1">
        <v>117.29676533339</v>
      </c>
      <c r="J88" s="1">
        <v>117.29676533339</v>
      </c>
      <c r="K88" s="1">
        <v>117.29676533339</v>
      </c>
      <c r="L88" s="1">
        <v>117.59700054174699</v>
      </c>
      <c r="M88" s="1">
        <v>117.885286000091</v>
      </c>
      <c r="N88" s="1" t="s">
        <v>32</v>
      </c>
      <c r="O88" s="1">
        <v>2</v>
      </c>
      <c r="P88" s="1">
        <v>1</v>
      </c>
      <c r="Q88" s="1">
        <v>1</v>
      </c>
      <c r="R88" s="1">
        <v>0.57951437495648805</v>
      </c>
      <c r="S88" s="1" t="s">
        <v>27</v>
      </c>
      <c r="T88" s="1">
        <v>1</v>
      </c>
      <c r="U88" s="3" t="s">
        <v>28</v>
      </c>
      <c r="V88" s="1" t="s">
        <v>29</v>
      </c>
      <c r="X88" s="1" t="s">
        <v>30</v>
      </c>
      <c r="Y88" s="1">
        <v>59.941018021787997</v>
      </c>
      <c r="Z88" s="1" t="s">
        <v>31</v>
      </c>
    </row>
    <row r="89" spans="1:26">
      <c r="A89" s="1">
        <v>87</v>
      </c>
      <c r="B89" s="1">
        <v>0.5</v>
      </c>
      <c r="C89" s="1">
        <v>2</v>
      </c>
      <c r="D89" s="1">
        <v>117.89628820842999</v>
      </c>
      <c r="G89" s="1">
        <v>117.885461416677</v>
      </c>
      <c r="H89" s="1">
        <v>117.89628820842999</v>
      </c>
      <c r="I89" s="1">
        <v>118.396790416678</v>
      </c>
      <c r="J89" s="1">
        <v>118.396790416678</v>
      </c>
      <c r="K89" s="1">
        <v>118.396790416678</v>
      </c>
      <c r="L89" s="1">
        <v>118.696881916723</v>
      </c>
      <c r="M89" s="1">
        <v>119.01811112510001</v>
      </c>
      <c r="N89" s="1" t="s">
        <v>26</v>
      </c>
      <c r="O89" s="1">
        <v>-2</v>
      </c>
      <c r="P89" s="1">
        <v>0</v>
      </c>
      <c r="Q89" s="1">
        <v>0</v>
      </c>
      <c r="R89" s="1">
        <v>0.61577654164284401</v>
      </c>
      <c r="S89" s="1" t="s">
        <v>27</v>
      </c>
      <c r="T89" s="1">
        <v>1</v>
      </c>
      <c r="U89" s="3" t="s">
        <v>28</v>
      </c>
      <c r="V89" s="1" t="s">
        <v>29</v>
      </c>
      <c r="X89" s="1" t="s">
        <v>30</v>
      </c>
      <c r="Y89" s="1">
        <v>59.941018021787997</v>
      </c>
      <c r="Z89" s="1" t="s">
        <v>31</v>
      </c>
    </row>
    <row r="90" spans="1:26">
      <c r="A90" s="1">
        <v>88</v>
      </c>
      <c r="B90" s="1">
        <v>0.5</v>
      </c>
      <c r="C90" s="1">
        <v>2.5</v>
      </c>
      <c r="D90" s="1">
        <v>119.029789083404</v>
      </c>
      <c r="G90" s="1">
        <v>119.018296500085</v>
      </c>
      <c r="H90" s="1">
        <v>119.029789083404</v>
      </c>
      <c r="I90" s="1">
        <v>119.530008791713</v>
      </c>
      <c r="J90" s="1">
        <v>119.530008791713</v>
      </c>
      <c r="K90" s="1">
        <v>119.530008791713</v>
      </c>
      <c r="L90" s="1">
        <v>119.830304875038</v>
      </c>
      <c r="M90" s="1">
        <v>120.149780791718</v>
      </c>
      <c r="N90" s="1" t="s">
        <v>26</v>
      </c>
      <c r="O90" s="1">
        <v>-2.5</v>
      </c>
      <c r="P90" s="1">
        <v>0</v>
      </c>
      <c r="Q90" s="1">
        <v>0</v>
      </c>
      <c r="R90" s="1">
        <v>0.61164633336011298</v>
      </c>
      <c r="S90" s="1" t="s">
        <v>27</v>
      </c>
      <c r="T90" s="1">
        <v>1</v>
      </c>
      <c r="U90" s="3" t="s">
        <v>28</v>
      </c>
      <c r="V90" s="1" t="s">
        <v>29</v>
      </c>
      <c r="X90" s="1" t="s">
        <v>30</v>
      </c>
      <c r="Y90" s="1">
        <v>59.941018021787997</v>
      </c>
      <c r="Z90" s="1" t="s">
        <v>31</v>
      </c>
    </row>
    <row r="91" spans="1:26">
      <c r="A91" s="1">
        <v>89</v>
      </c>
      <c r="B91" s="1">
        <v>0.5</v>
      </c>
      <c r="C91" s="1">
        <v>3</v>
      </c>
      <c r="D91" s="1">
        <v>120.16350658342699</v>
      </c>
      <c r="G91" s="1">
        <v>120.149908000021</v>
      </c>
      <c r="H91" s="1">
        <v>120.16350658342699</v>
      </c>
      <c r="I91" s="1">
        <v>120.66365820833001</v>
      </c>
      <c r="J91" s="1">
        <v>120.66365820833001</v>
      </c>
      <c r="K91" s="1">
        <v>120.66365820833001</v>
      </c>
      <c r="L91" s="1">
        <v>120.963365791714</v>
      </c>
      <c r="M91" s="1">
        <v>121.300853000022</v>
      </c>
      <c r="N91" s="1" t="s">
        <v>32</v>
      </c>
      <c r="O91" s="1">
        <v>3</v>
      </c>
      <c r="P91" s="1">
        <v>1</v>
      </c>
      <c r="Q91" s="1">
        <v>1</v>
      </c>
      <c r="R91" s="1">
        <v>0.633877624990418</v>
      </c>
      <c r="S91" s="1" t="s">
        <v>27</v>
      </c>
      <c r="T91" s="1">
        <v>1</v>
      </c>
      <c r="U91" s="3" t="s">
        <v>28</v>
      </c>
      <c r="V91" s="1" t="s">
        <v>29</v>
      </c>
      <c r="X91" s="1" t="s">
        <v>30</v>
      </c>
      <c r="Y91" s="1">
        <v>59.941018021787997</v>
      </c>
      <c r="Z91" s="1" t="s">
        <v>31</v>
      </c>
    </row>
    <row r="92" spans="1:26">
      <c r="A92" s="1">
        <v>90</v>
      </c>
      <c r="B92" s="1">
        <v>0.5</v>
      </c>
      <c r="C92" s="1">
        <v>3</v>
      </c>
      <c r="D92" s="1">
        <v>121.316739583387</v>
      </c>
      <c r="G92" s="1">
        <v>121.301022041705</v>
      </c>
      <c r="H92" s="1">
        <v>121.316739583387</v>
      </c>
      <c r="I92" s="1">
        <v>121.813352166675</v>
      </c>
      <c r="J92" s="1">
        <v>121.813352166675</v>
      </c>
      <c r="K92" s="1">
        <v>121.830110708368</v>
      </c>
      <c r="L92" s="1">
        <v>122.113654250046</v>
      </c>
      <c r="M92" s="1">
        <v>122.50223708339</v>
      </c>
      <c r="N92" s="1" t="s">
        <v>32</v>
      </c>
      <c r="O92" s="1">
        <v>3</v>
      </c>
      <c r="P92" s="1">
        <v>1</v>
      </c>
      <c r="Q92" s="1">
        <v>1</v>
      </c>
      <c r="R92" s="1">
        <v>0.67517291661351897</v>
      </c>
      <c r="S92" s="1" t="s">
        <v>27</v>
      </c>
      <c r="T92" s="1">
        <v>1</v>
      </c>
      <c r="U92" s="3" t="s">
        <v>28</v>
      </c>
      <c r="V92" s="1" t="s">
        <v>29</v>
      </c>
      <c r="X92" s="1" t="s">
        <v>30</v>
      </c>
      <c r="Y92" s="1">
        <v>59.941018021787997</v>
      </c>
      <c r="Z92" s="1" t="s">
        <v>31</v>
      </c>
    </row>
    <row r="93" spans="1:26">
      <c r="A93" s="1">
        <v>91</v>
      </c>
      <c r="B93" s="1">
        <v>0.5</v>
      </c>
      <c r="C93" s="1">
        <v>3</v>
      </c>
      <c r="D93" s="1">
        <v>122.513459958368</v>
      </c>
      <c r="G93" s="1">
        <v>122.502407708321</v>
      </c>
      <c r="H93" s="1">
        <v>122.513459958368</v>
      </c>
      <c r="I93" s="1">
        <v>123.01354716671599</v>
      </c>
      <c r="J93" s="1">
        <v>123.01354716671599</v>
      </c>
      <c r="K93" s="1">
        <v>123.01354716671599</v>
      </c>
      <c r="L93" s="1">
        <v>123.314467458403</v>
      </c>
      <c r="M93" s="1">
        <v>123.55210704170101</v>
      </c>
      <c r="N93" s="1" t="s">
        <v>32</v>
      </c>
      <c r="O93" s="1">
        <v>3</v>
      </c>
      <c r="P93" s="1">
        <v>1</v>
      </c>
      <c r="Q93" s="1">
        <v>1</v>
      </c>
      <c r="R93" s="1">
        <v>0.52386862505227305</v>
      </c>
      <c r="S93" s="1" t="s">
        <v>27</v>
      </c>
      <c r="T93" s="1">
        <v>1</v>
      </c>
      <c r="U93" s="3" t="s">
        <v>28</v>
      </c>
      <c r="V93" s="1" t="s">
        <v>29</v>
      </c>
      <c r="X93" s="1" t="s">
        <v>30</v>
      </c>
      <c r="Y93" s="1">
        <v>59.941018021787997</v>
      </c>
      <c r="Z93" s="1" t="s">
        <v>31</v>
      </c>
    </row>
    <row r="94" spans="1:26">
      <c r="A94" s="1">
        <v>92</v>
      </c>
      <c r="B94" s="1">
        <v>0.5</v>
      </c>
      <c r="C94" s="1">
        <v>2.5</v>
      </c>
      <c r="D94" s="1">
        <v>123.563568541663</v>
      </c>
      <c r="G94" s="1">
        <v>123.552289916668</v>
      </c>
      <c r="H94" s="1">
        <v>123.563568541663</v>
      </c>
      <c r="I94" s="1">
        <v>124.06374875002</v>
      </c>
      <c r="J94" s="1">
        <v>124.06374875002</v>
      </c>
      <c r="K94" s="1">
        <v>124.06374875002</v>
      </c>
      <c r="L94" s="1">
        <v>124.36363241670099</v>
      </c>
      <c r="M94" s="1">
        <v>124.76603791676401</v>
      </c>
      <c r="N94" s="1" t="s">
        <v>32</v>
      </c>
      <c r="O94" s="1">
        <v>2.5</v>
      </c>
      <c r="P94" s="1">
        <v>1</v>
      </c>
      <c r="Q94" s="1">
        <v>1</v>
      </c>
      <c r="R94" s="1">
        <v>0.69767354172654406</v>
      </c>
      <c r="S94" s="1" t="s">
        <v>27</v>
      </c>
      <c r="T94" s="1">
        <v>1</v>
      </c>
      <c r="U94" s="3" t="s">
        <v>28</v>
      </c>
      <c r="V94" s="1" t="s">
        <v>29</v>
      </c>
      <c r="X94" s="1" t="s">
        <v>30</v>
      </c>
      <c r="Y94" s="1">
        <v>59.941018021787997</v>
      </c>
      <c r="Z94" s="1" t="s">
        <v>31</v>
      </c>
    </row>
    <row r="95" spans="1:26">
      <c r="A95" s="1">
        <v>93</v>
      </c>
      <c r="B95" s="1">
        <v>0.5</v>
      </c>
      <c r="C95" s="1">
        <v>2.5</v>
      </c>
      <c r="D95" s="1">
        <v>124.78011950000599</v>
      </c>
      <c r="G95" s="1">
        <v>124.766189916757</v>
      </c>
      <c r="H95" s="1">
        <v>124.78011950000599</v>
      </c>
      <c r="I95" s="1">
        <v>125.280094249988</v>
      </c>
      <c r="J95" s="1">
        <v>125.280094249988</v>
      </c>
      <c r="K95" s="1">
        <v>125.280094249988</v>
      </c>
      <c r="L95" s="1">
        <v>125.580014708335</v>
      </c>
      <c r="M95" s="1">
        <v>125.78525379172</v>
      </c>
      <c r="N95" s="1" t="s">
        <v>32</v>
      </c>
      <c r="O95" s="1">
        <v>2.5</v>
      </c>
      <c r="P95" s="1">
        <v>0</v>
      </c>
      <c r="Q95" s="1">
        <v>0</v>
      </c>
      <c r="R95" s="1">
        <v>0.49139920843299401</v>
      </c>
      <c r="S95" s="1" t="s">
        <v>27</v>
      </c>
      <c r="T95" s="1">
        <v>1</v>
      </c>
      <c r="U95" s="3" t="s">
        <v>28</v>
      </c>
      <c r="V95" s="1" t="s">
        <v>29</v>
      </c>
      <c r="X95" s="1" t="s">
        <v>30</v>
      </c>
      <c r="Y95" s="1">
        <v>59.941018021787997</v>
      </c>
      <c r="Z95" s="1" t="s">
        <v>31</v>
      </c>
    </row>
    <row r="96" spans="1:26">
      <c r="A96" s="1">
        <v>94</v>
      </c>
      <c r="B96" s="1">
        <v>0.5</v>
      </c>
      <c r="C96" s="1">
        <v>3</v>
      </c>
      <c r="D96" s="1">
        <v>125.797010291717</v>
      </c>
      <c r="G96" s="1">
        <v>125.785443208413</v>
      </c>
      <c r="H96" s="1">
        <v>125.797010291717</v>
      </c>
      <c r="I96" s="1">
        <v>126.29675450001299</v>
      </c>
      <c r="J96" s="1">
        <v>126.29675450001299</v>
      </c>
      <c r="K96" s="1">
        <v>126.29675450001299</v>
      </c>
      <c r="L96" s="1">
        <v>126.596880791708</v>
      </c>
      <c r="M96" s="1">
        <v>126.868790833395</v>
      </c>
      <c r="N96" s="1" t="s">
        <v>32</v>
      </c>
      <c r="O96" s="1">
        <v>3</v>
      </c>
      <c r="P96" s="1">
        <v>1</v>
      </c>
      <c r="Q96" s="1">
        <v>1</v>
      </c>
      <c r="R96" s="1">
        <v>0.555648333276622</v>
      </c>
      <c r="S96" s="1" t="s">
        <v>27</v>
      </c>
      <c r="T96" s="1">
        <v>1</v>
      </c>
      <c r="U96" s="3" t="s">
        <v>28</v>
      </c>
      <c r="V96" s="1" t="s">
        <v>29</v>
      </c>
      <c r="X96" s="1" t="s">
        <v>30</v>
      </c>
      <c r="Y96" s="1">
        <v>59.941018021787997</v>
      </c>
      <c r="Z96" s="1" t="s">
        <v>31</v>
      </c>
    </row>
    <row r="97" spans="1:26">
      <c r="A97" s="1">
        <v>95</v>
      </c>
      <c r="B97" s="1">
        <v>0.5</v>
      </c>
      <c r="C97" s="1">
        <v>3</v>
      </c>
      <c r="D97" s="1">
        <v>126.880033833323</v>
      </c>
      <c r="G97" s="1">
        <v>126.86895487504</v>
      </c>
      <c r="H97" s="1">
        <v>126.880033833323</v>
      </c>
      <c r="I97" s="1">
        <v>127.380197166698</v>
      </c>
      <c r="J97" s="1">
        <v>127.380197166698</v>
      </c>
      <c r="K97" s="1">
        <v>127.380197166698</v>
      </c>
      <c r="L97" s="1">
        <v>127.679915583343</v>
      </c>
      <c r="M97" s="1">
        <v>128.21993058337799</v>
      </c>
      <c r="N97" s="1" t="s">
        <v>26</v>
      </c>
      <c r="O97" s="1">
        <v>-3</v>
      </c>
      <c r="P97" s="1">
        <v>0</v>
      </c>
      <c r="Q97" s="1">
        <v>0</v>
      </c>
      <c r="R97" s="1">
        <v>0.82724712498020303</v>
      </c>
      <c r="S97" s="1" t="s">
        <v>27</v>
      </c>
      <c r="T97" s="1">
        <v>1</v>
      </c>
      <c r="U97" s="3" t="s">
        <v>28</v>
      </c>
      <c r="V97" s="1" t="s">
        <v>29</v>
      </c>
      <c r="X97" s="1" t="s">
        <v>30</v>
      </c>
      <c r="Y97" s="1">
        <v>59.941018021787997</v>
      </c>
      <c r="Z97" s="1" t="s">
        <v>31</v>
      </c>
    </row>
    <row r="98" spans="1:26">
      <c r="A98" s="1">
        <v>96</v>
      </c>
      <c r="B98" s="1">
        <v>0.5</v>
      </c>
      <c r="C98" s="1">
        <v>3.5</v>
      </c>
      <c r="D98" s="1">
        <v>128.229692666674</v>
      </c>
      <c r="G98" s="1">
        <v>128.220113791758</v>
      </c>
      <c r="H98" s="1">
        <v>128.229692666674</v>
      </c>
      <c r="I98" s="1">
        <v>128.730059208348</v>
      </c>
      <c r="J98" s="1">
        <v>128.730059208348</v>
      </c>
      <c r="K98" s="1">
        <v>128.730059208348</v>
      </c>
      <c r="L98" s="1">
        <v>129.02950425003601</v>
      </c>
      <c r="M98" s="1">
        <v>129.46719724999201</v>
      </c>
      <c r="N98" s="1" t="s">
        <v>32</v>
      </c>
      <c r="O98" s="1">
        <v>3.5</v>
      </c>
      <c r="P98" s="1">
        <v>1</v>
      </c>
      <c r="Q98" s="1">
        <v>1</v>
      </c>
      <c r="R98" s="1">
        <v>0.73036191670689699</v>
      </c>
      <c r="S98" s="1" t="s">
        <v>27</v>
      </c>
      <c r="T98" s="1">
        <v>1</v>
      </c>
      <c r="U98" s="3" t="s">
        <v>28</v>
      </c>
      <c r="V98" s="1" t="s">
        <v>29</v>
      </c>
      <c r="X98" s="1" t="s">
        <v>30</v>
      </c>
      <c r="Y98" s="1">
        <v>59.941018021787997</v>
      </c>
      <c r="Z98" s="1" t="s">
        <v>31</v>
      </c>
    </row>
    <row r="99" spans="1:26">
      <c r="A99" s="1">
        <v>97</v>
      </c>
      <c r="B99" s="1">
        <v>0.5</v>
      </c>
      <c r="C99" s="1">
        <v>3.5</v>
      </c>
      <c r="D99" s="1">
        <v>129.479669125052</v>
      </c>
      <c r="G99" s="1">
        <v>129.46738316665801</v>
      </c>
      <c r="H99" s="1">
        <v>129.479669125052</v>
      </c>
      <c r="I99" s="1">
        <v>129.980033833417</v>
      </c>
      <c r="J99" s="1">
        <v>129.980033833417</v>
      </c>
      <c r="K99" s="1">
        <v>129.980033833417</v>
      </c>
      <c r="L99" s="1">
        <v>130.28028716670801</v>
      </c>
      <c r="M99" s="1">
        <v>130.467548291664</v>
      </c>
      <c r="N99" s="1" t="s">
        <v>32</v>
      </c>
      <c r="O99" s="1">
        <v>3.5</v>
      </c>
      <c r="P99" s="1">
        <v>1</v>
      </c>
      <c r="Q99" s="1">
        <v>1</v>
      </c>
      <c r="R99" s="1">
        <v>0.483272541663609</v>
      </c>
      <c r="S99" s="1" t="s">
        <v>27</v>
      </c>
      <c r="T99" s="1">
        <v>1</v>
      </c>
      <c r="U99" s="3" t="s">
        <v>28</v>
      </c>
      <c r="V99" s="1" t="s">
        <v>29</v>
      </c>
      <c r="X99" s="1" t="s">
        <v>30</v>
      </c>
      <c r="Y99" s="1">
        <v>59.941018021787997</v>
      </c>
      <c r="Z99" s="1" t="s">
        <v>31</v>
      </c>
    </row>
    <row r="100" spans="1:26">
      <c r="A100" s="1">
        <v>98</v>
      </c>
      <c r="B100" s="1">
        <v>0.5</v>
      </c>
      <c r="C100" s="1">
        <v>3.5</v>
      </c>
      <c r="D100" s="1">
        <v>130.47974037507001</v>
      </c>
      <c r="G100" s="1">
        <v>130.46771670843</v>
      </c>
      <c r="H100" s="1">
        <v>130.47974037507001</v>
      </c>
      <c r="I100" s="1">
        <v>130.98009950004001</v>
      </c>
      <c r="J100" s="1">
        <v>130.98009950004001</v>
      </c>
      <c r="K100" s="1">
        <v>130.98009950004001</v>
      </c>
      <c r="L100" s="1">
        <v>131.280024833395</v>
      </c>
      <c r="M100" s="1">
        <v>131.50277833337799</v>
      </c>
      <c r="N100" s="1" t="s">
        <v>32</v>
      </c>
      <c r="O100" s="1">
        <v>3.5</v>
      </c>
      <c r="P100" s="1">
        <v>1</v>
      </c>
      <c r="Q100" s="1">
        <v>1</v>
      </c>
      <c r="R100" s="1">
        <v>0.50826224999036596</v>
      </c>
      <c r="S100" s="1" t="s">
        <v>27</v>
      </c>
      <c r="T100" s="1">
        <v>1</v>
      </c>
      <c r="U100" s="3" t="s">
        <v>28</v>
      </c>
      <c r="V100" s="1" t="s">
        <v>29</v>
      </c>
      <c r="X100" s="1" t="s">
        <v>30</v>
      </c>
      <c r="Y100" s="1">
        <v>59.941018021787997</v>
      </c>
      <c r="Z100" s="1" t="s">
        <v>31</v>
      </c>
    </row>
    <row r="101" spans="1:26">
      <c r="A101" s="1">
        <v>99</v>
      </c>
      <c r="B101" s="1">
        <v>0.5</v>
      </c>
      <c r="C101" s="1">
        <v>3</v>
      </c>
      <c r="D101" s="1">
        <v>131.513044374994</v>
      </c>
      <c r="G101" s="1">
        <v>131.50296225002899</v>
      </c>
      <c r="H101" s="1">
        <v>131.513044374994</v>
      </c>
      <c r="I101" s="1">
        <v>132.01346845843301</v>
      </c>
      <c r="J101" s="1">
        <v>132.01346845843301</v>
      </c>
      <c r="K101" s="1">
        <v>132.01346845843301</v>
      </c>
      <c r="L101" s="1">
        <v>132.31342987506599</v>
      </c>
      <c r="M101" s="1">
        <v>132.58652054169201</v>
      </c>
      <c r="N101" s="1" t="s">
        <v>32</v>
      </c>
      <c r="O101" s="1">
        <v>3</v>
      </c>
      <c r="P101" s="1">
        <v>1</v>
      </c>
      <c r="Q101" s="1">
        <v>1</v>
      </c>
      <c r="R101" s="1">
        <v>0.55976854171603896</v>
      </c>
      <c r="S101" s="1" t="s">
        <v>27</v>
      </c>
      <c r="T101" s="1">
        <v>1</v>
      </c>
      <c r="U101" s="3" t="s">
        <v>28</v>
      </c>
      <c r="V101" s="1" t="s">
        <v>29</v>
      </c>
      <c r="X101" s="1" t="s">
        <v>30</v>
      </c>
      <c r="Y101" s="1">
        <v>59.941018021787997</v>
      </c>
      <c r="Z101" s="1" t="s">
        <v>31</v>
      </c>
    </row>
    <row r="103" spans="1:26">
      <c r="O103" s="4"/>
      <c r="P103" s="4"/>
    </row>
    <row r="105" spans="1:26" ht="30.75">
      <c r="O105" s="9" t="s">
        <v>33</v>
      </c>
      <c r="P105" s="4"/>
      <c r="Q105" s="9" t="s">
        <v>34</v>
      </c>
      <c r="R105" s="9" t="s">
        <v>35</v>
      </c>
    </row>
    <row r="106" spans="1:26">
      <c r="O106" s="8">
        <v>1.5</v>
      </c>
      <c r="Q106" s="11">
        <v>82</v>
      </c>
      <c r="R106" s="11">
        <v>0.82</v>
      </c>
    </row>
    <row r="107" spans="1:26">
      <c r="O107" s="8">
        <v>2</v>
      </c>
    </row>
    <row r="108" spans="1:26">
      <c r="O108" s="8">
        <v>3</v>
      </c>
    </row>
    <row r="109" spans="1:26">
      <c r="O109" s="8">
        <v>3</v>
      </c>
    </row>
    <row r="110" spans="1:26">
      <c r="O110" s="8">
        <v>3.5</v>
      </c>
    </row>
    <row r="111" spans="1:26">
      <c r="N111" s="9" t="s">
        <v>36</v>
      </c>
      <c r="O111" s="10">
        <f xml:space="preserve"> AVERAGE(O106:O110)</f>
        <v>2.6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A21CA-2476-4639-AEED-6E4C7CD503D3}">
  <dimension ref="A1:H101"/>
  <sheetViews>
    <sheetView topLeftCell="A80" workbookViewId="0">
      <selection activeCell="D98" sqref="D98"/>
    </sheetView>
  </sheetViews>
  <sheetFormatPr defaultRowHeight="15"/>
  <cols>
    <col min="1" max="1" width="18" style="1" customWidth="1"/>
    <col min="2" max="2" width="21.28515625" style="1" customWidth="1"/>
    <col min="3" max="3" width="17.28515625" style="1" customWidth="1"/>
    <col min="4" max="4" width="12.85546875" style="1" customWidth="1"/>
    <col min="5" max="5" width="7.85546875" style="1" customWidth="1"/>
    <col min="6" max="6" width="17.42578125" style="1" customWidth="1"/>
    <col min="7" max="7" width="13.7109375" style="1" customWidth="1"/>
    <col min="8" max="16384" width="9.140625" style="1"/>
  </cols>
  <sheetData>
    <row r="1" spans="1:8" ht="60.75">
      <c r="A1" s="2" t="s">
        <v>37</v>
      </c>
      <c r="B1" s="2" t="s">
        <v>38</v>
      </c>
      <c r="C1" s="2" t="s">
        <v>39</v>
      </c>
    </row>
    <row r="2" spans="1:8" ht="15.75">
      <c r="A2" s="1">
        <v>0</v>
      </c>
      <c r="B2" s="1">
        <v>-10</v>
      </c>
      <c r="C2" s="1">
        <v>1</v>
      </c>
      <c r="D2" s="6"/>
    </row>
    <row r="3" spans="1:8" ht="15.75">
      <c r="A3" s="1">
        <v>1</v>
      </c>
      <c r="B3" s="1">
        <v>8</v>
      </c>
      <c r="C3" s="1">
        <v>1</v>
      </c>
      <c r="D3" s="6"/>
    </row>
    <row r="4" spans="1:8">
      <c r="A4" s="1">
        <v>2</v>
      </c>
      <c r="B4" s="1">
        <v>6</v>
      </c>
      <c r="C4" s="1">
        <v>1</v>
      </c>
      <c r="D4" s="1" t="str">
        <f>IF(E4&lt;&gt;E3, "REVERSAL", "")</f>
        <v/>
      </c>
    </row>
    <row r="5" spans="1:8">
      <c r="A5" s="1">
        <v>3</v>
      </c>
      <c r="B5" s="1">
        <v>4</v>
      </c>
      <c r="C5" s="1">
        <v>1</v>
      </c>
      <c r="D5" s="1" t="str">
        <f>IF(E5&lt;&gt;E4, "REVERSAL", "")</f>
        <v/>
      </c>
      <c r="G5" s="4" t="s">
        <v>33</v>
      </c>
      <c r="H5" s="4"/>
    </row>
    <row r="6" spans="1:8" ht="15.75">
      <c r="A6" s="1">
        <v>4</v>
      </c>
      <c r="B6" s="1">
        <v>-2</v>
      </c>
      <c r="C6" s="1">
        <v>1</v>
      </c>
      <c r="D6" s="6" t="s">
        <v>40</v>
      </c>
      <c r="G6" s="1">
        <f>B86</f>
        <v>1.5</v>
      </c>
    </row>
    <row r="7" spans="1:8">
      <c r="A7" s="1">
        <v>5</v>
      </c>
      <c r="B7" s="1">
        <v>-1</v>
      </c>
      <c r="C7" s="1">
        <v>1</v>
      </c>
      <c r="D7" s="1" t="str">
        <f>IF(E7&lt;&gt;E6, "REVERSAL", "")</f>
        <v/>
      </c>
      <c r="G7" s="1">
        <f>B88</f>
        <v>2</v>
      </c>
    </row>
    <row r="8" spans="1:8" ht="15.75">
      <c r="A8" s="1">
        <v>6</v>
      </c>
      <c r="B8" s="1">
        <v>1</v>
      </c>
      <c r="C8" s="1">
        <v>1</v>
      </c>
      <c r="D8" s="6"/>
      <c r="G8" s="1">
        <f>B91</f>
        <v>3</v>
      </c>
    </row>
    <row r="9" spans="1:8" ht="15.75">
      <c r="A9" s="1">
        <v>7</v>
      </c>
      <c r="B9" s="1">
        <v>-1</v>
      </c>
      <c r="C9" s="1">
        <v>1</v>
      </c>
      <c r="D9" s="6" t="s">
        <v>40</v>
      </c>
      <c r="G9" s="1">
        <f>B96</f>
        <v>3</v>
      </c>
    </row>
    <row r="10" spans="1:8">
      <c r="A10" s="1">
        <v>8</v>
      </c>
      <c r="B10" s="1">
        <v>1</v>
      </c>
      <c r="C10" s="1">
        <v>1</v>
      </c>
      <c r="G10" s="1">
        <f>B98</f>
        <v>3.5</v>
      </c>
    </row>
    <row r="11" spans="1:8" ht="30.75">
      <c r="A11" s="1">
        <v>9</v>
      </c>
      <c r="B11" s="1">
        <v>1</v>
      </c>
      <c r="C11" s="1">
        <v>1</v>
      </c>
      <c r="D11" s="1" t="str">
        <f>IF(E11&lt;&gt;E10, "REVERSAL", "")</f>
        <v/>
      </c>
      <c r="F11" s="12" t="s">
        <v>36</v>
      </c>
      <c r="G11" s="7">
        <f>AVERAGE(G6:G10)</f>
        <v>2.6</v>
      </c>
    </row>
    <row r="12" spans="1:8" ht="15.75">
      <c r="A12" s="1">
        <v>10</v>
      </c>
      <c r="B12" s="1">
        <v>-1</v>
      </c>
      <c r="C12" s="1">
        <v>1</v>
      </c>
      <c r="D12" s="6" t="s">
        <v>40</v>
      </c>
    </row>
    <row r="13" spans="1:8">
      <c r="A13" s="1">
        <v>11</v>
      </c>
      <c r="B13" s="1">
        <v>-1</v>
      </c>
      <c r="C13" s="1">
        <v>1</v>
      </c>
      <c r="D13" s="1" t="str">
        <f>IF(E13&lt;&gt;E12, "REVERSAL", "")</f>
        <v/>
      </c>
    </row>
    <row r="14" spans="1:8" ht="15.75">
      <c r="A14" s="1">
        <v>12</v>
      </c>
      <c r="B14" s="1">
        <v>1</v>
      </c>
      <c r="C14" s="1">
        <v>1</v>
      </c>
      <c r="D14" s="6"/>
    </row>
    <row r="15" spans="1:8" ht="15.75">
      <c r="A15" s="1">
        <v>13</v>
      </c>
      <c r="B15" s="1">
        <v>-1</v>
      </c>
      <c r="C15" s="1">
        <v>1</v>
      </c>
      <c r="D15" s="6" t="s">
        <v>40</v>
      </c>
    </row>
    <row r="16" spans="1:8">
      <c r="A16" s="1">
        <v>14</v>
      </c>
      <c r="B16" s="1">
        <v>-1</v>
      </c>
      <c r="C16" s="1">
        <v>1</v>
      </c>
    </row>
    <row r="17" spans="1:4" ht="15.75">
      <c r="A17" s="1">
        <v>15</v>
      </c>
      <c r="B17" s="1">
        <v>1</v>
      </c>
      <c r="C17" s="1">
        <v>1</v>
      </c>
      <c r="D17" s="6"/>
    </row>
    <row r="18" spans="1:4">
      <c r="A18" s="1">
        <v>16</v>
      </c>
      <c r="B18" s="1">
        <v>1</v>
      </c>
      <c r="C18" s="1">
        <v>1</v>
      </c>
    </row>
    <row r="19" spans="1:4">
      <c r="A19" s="1">
        <v>17</v>
      </c>
      <c r="B19" s="1">
        <v>1</v>
      </c>
      <c r="C19" s="1">
        <v>0</v>
      </c>
    </row>
    <row r="20" spans="1:4" ht="15.75">
      <c r="A20" s="1">
        <v>18</v>
      </c>
      <c r="B20" s="1">
        <v>-2</v>
      </c>
      <c r="C20" s="1">
        <v>1</v>
      </c>
      <c r="D20" s="6" t="s">
        <v>40</v>
      </c>
    </row>
    <row r="21" spans="1:4" ht="15.75">
      <c r="A21" s="1">
        <v>19</v>
      </c>
      <c r="B21" s="1">
        <v>2</v>
      </c>
      <c r="C21" s="1">
        <v>1</v>
      </c>
      <c r="D21" s="6"/>
    </row>
    <row r="22" spans="1:4" ht="15.75">
      <c r="A22" s="1">
        <v>20</v>
      </c>
      <c r="B22" s="1">
        <v>-2</v>
      </c>
      <c r="C22" s="1">
        <v>1</v>
      </c>
      <c r="D22" s="6" t="s">
        <v>40</v>
      </c>
    </row>
    <row r="23" spans="1:4" ht="15.75">
      <c r="A23" s="1">
        <v>21</v>
      </c>
      <c r="B23" s="1">
        <v>1</v>
      </c>
      <c r="C23" s="1">
        <v>1</v>
      </c>
      <c r="D23" s="6"/>
    </row>
    <row r="24" spans="1:4" ht="15.75">
      <c r="A24" s="1">
        <v>22</v>
      </c>
      <c r="B24" s="1">
        <v>-1</v>
      </c>
      <c r="C24" s="1">
        <v>1</v>
      </c>
      <c r="D24" s="6" t="s">
        <v>40</v>
      </c>
    </row>
    <row r="25" spans="1:4" ht="15.75">
      <c r="A25" s="1">
        <v>23</v>
      </c>
      <c r="B25" s="1">
        <v>1</v>
      </c>
      <c r="C25" s="1">
        <v>0</v>
      </c>
      <c r="D25" s="6"/>
    </row>
    <row r="26" spans="1:4" ht="15.75">
      <c r="A26" s="1">
        <v>24</v>
      </c>
      <c r="B26" s="1">
        <v>-1.5</v>
      </c>
      <c r="C26" s="1">
        <v>1</v>
      </c>
      <c r="D26" s="6" t="s">
        <v>40</v>
      </c>
    </row>
    <row r="27" spans="1:4">
      <c r="A27" s="1">
        <v>25</v>
      </c>
      <c r="B27" s="1">
        <v>-1.5</v>
      </c>
      <c r="C27" s="1">
        <v>1</v>
      </c>
    </row>
    <row r="28" spans="1:4" ht="15.75">
      <c r="A28" s="1">
        <v>26</v>
      </c>
      <c r="B28" s="1">
        <v>1.5</v>
      </c>
      <c r="C28" s="1">
        <v>0</v>
      </c>
      <c r="D28" s="6"/>
    </row>
    <row r="29" spans="1:4">
      <c r="A29" s="1">
        <v>27</v>
      </c>
      <c r="B29" s="1">
        <v>2</v>
      </c>
      <c r="C29" s="1">
        <v>1</v>
      </c>
    </row>
    <row r="30" spans="1:4">
      <c r="A30" s="1">
        <v>28</v>
      </c>
      <c r="B30" s="1">
        <v>2</v>
      </c>
      <c r="C30" s="1">
        <v>0</v>
      </c>
    </row>
    <row r="31" spans="1:4" ht="15.75">
      <c r="A31" s="1">
        <v>29</v>
      </c>
      <c r="B31" s="1">
        <v>-2.5</v>
      </c>
      <c r="C31" s="1">
        <v>0</v>
      </c>
      <c r="D31" s="6" t="s">
        <v>40</v>
      </c>
    </row>
    <row r="32" spans="1:4">
      <c r="A32" s="1">
        <v>30</v>
      </c>
      <c r="B32" s="1">
        <v>-3</v>
      </c>
      <c r="C32" s="1">
        <v>1</v>
      </c>
    </row>
    <row r="33" spans="1:4" ht="15.75">
      <c r="A33" s="1">
        <v>31</v>
      </c>
      <c r="B33" s="1">
        <v>3</v>
      </c>
      <c r="C33" s="1">
        <v>1</v>
      </c>
      <c r="D33" s="6" t="s">
        <v>40</v>
      </c>
    </row>
    <row r="34" spans="1:4" ht="15.75">
      <c r="A34" s="1">
        <v>32</v>
      </c>
      <c r="B34" s="1">
        <v>-3</v>
      </c>
      <c r="C34" s="1">
        <v>1</v>
      </c>
      <c r="D34" s="6"/>
    </row>
    <row r="35" spans="1:4" ht="15.75">
      <c r="A35" s="1">
        <v>33</v>
      </c>
      <c r="B35" s="1">
        <v>2.5</v>
      </c>
      <c r="C35" s="1">
        <v>1</v>
      </c>
      <c r="D35" s="6" t="s">
        <v>40</v>
      </c>
    </row>
    <row r="36" spans="1:4" ht="15.75">
      <c r="A36" s="1">
        <v>34</v>
      </c>
      <c r="B36" s="1">
        <v>-2.5</v>
      </c>
      <c r="C36" s="1">
        <v>1</v>
      </c>
      <c r="D36" s="6"/>
    </row>
    <row r="37" spans="1:4">
      <c r="A37" s="1">
        <v>35</v>
      </c>
      <c r="B37" s="1">
        <v>-2.5</v>
      </c>
      <c r="C37" s="1">
        <v>1</v>
      </c>
    </row>
    <row r="38" spans="1:4" ht="15.75">
      <c r="A38" s="1">
        <v>36</v>
      </c>
      <c r="B38" s="1">
        <v>2</v>
      </c>
      <c r="C38" s="1">
        <v>1</v>
      </c>
      <c r="D38" s="6" t="s">
        <v>40</v>
      </c>
    </row>
    <row r="39" spans="1:4">
      <c r="A39" s="1">
        <v>37</v>
      </c>
      <c r="B39" s="1">
        <v>2</v>
      </c>
      <c r="C39" s="1">
        <v>1</v>
      </c>
    </row>
    <row r="40" spans="1:4" ht="15.75">
      <c r="A40" s="1">
        <v>38</v>
      </c>
      <c r="B40" s="1">
        <v>-2</v>
      </c>
      <c r="C40" s="1">
        <v>0</v>
      </c>
      <c r="D40" s="6" t="s">
        <v>40</v>
      </c>
    </row>
    <row r="41" spans="1:4">
      <c r="A41" s="1">
        <v>39</v>
      </c>
      <c r="B41" s="1">
        <v>-2.5</v>
      </c>
      <c r="C41" s="1">
        <v>0</v>
      </c>
    </row>
    <row r="42" spans="1:4">
      <c r="A42" s="1">
        <v>40</v>
      </c>
      <c r="B42" s="1">
        <v>-3</v>
      </c>
      <c r="C42" s="1">
        <v>1</v>
      </c>
    </row>
    <row r="43" spans="1:4" ht="15.75">
      <c r="A43" s="1">
        <v>41</v>
      </c>
      <c r="B43" s="1">
        <v>3</v>
      </c>
      <c r="C43" s="1">
        <v>1</v>
      </c>
      <c r="D43" s="6" t="s">
        <v>40</v>
      </c>
    </row>
    <row r="44" spans="1:4">
      <c r="A44" s="1">
        <v>42</v>
      </c>
      <c r="B44" s="1">
        <v>3</v>
      </c>
      <c r="C44" s="1">
        <v>0</v>
      </c>
    </row>
    <row r="45" spans="1:4">
      <c r="A45" s="1">
        <v>43</v>
      </c>
      <c r="B45" s="1">
        <v>3.5</v>
      </c>
      <c r="C45" s="1">
        <v>0</v>
      </c>
      <c r="D45" s="1" t="str">
        <f>IF(E45&lt;&gt;E44, "REVERSAL", "")</f>
        <v/>
      </c>
    </row>
    <row r="46" spans="1:4">
      <c r="A46" s="1">
        <v>44</v>
      </c>
      <c r="B46" s="1">
        <v>4</v>
      </c>
      <c r="C46" s="1">
        <v>1</v>
      </c>
      <c r="D46" s="1" t="str">
        <f>IF(E46&lt;&gt;E45, "REVERSAL", "")</f>
        <v/>
      </c>
    </row>
    <row r="47" spans="1:4">
      <c r="A47" s="1">
        <v>45</v>
      </c>
      <c r="B47" s="1">
        <v>4</v>
      </c>
      <c r="C47" s="1">
        <v>1</v>
      </c>
      <c r="D47" s="1" t="str">
        <f>IF(E47&lt;&gt;E46, "REVERSAL", "")</f>
        <v/>
      </c>
    </row>
    <row r="48" spans="1:4">
      <c r="A48" s="1">
        <v>46</v>
      </c>
      <c r="B48" s="1">
        <v>4</v>
      </c>
      <c r="C48" s="1">
        <v>0</v>
      </c>
      <c r="D48" s="1" t="str">
        <f>IF(E48&lt;&gt;E47, "REVERSAL", "")</f>
        <v/>
      </c>
    </row>
    <row r="49" spans="1:4" ht="15.75">
      <c r="A49" s="1">
        <v>47</v>
      </c>
      <c r="B49" s="1">
        <v>-4.5</v>
      </c>
      <c r="C49" s="1">
        <v>1</v>
      </c>
      <c r="D49" s="6" t="s">
        <v>40</v>
      </c>
    </row>
    <row r="50" spans="1:4" ht="15.75">
      <c r="A50" s="1">
        <v>48</v>
      </c>
      <c r="B50" s="1">
        <v>4.5</v>
      </c>
      <c r="C50" s="1">
        <v>1</v>
      </c>
      <c r="D50" s="6"/>
    </row>
    <row r="51" spans="1:4">
      <c r="A51" s="1">
        <v>49</v>
      </c>
      <c r="B51" s="1">
        <v>4.5</v>
      </c>
      <c r="C51" s="1">
        <v>1</v>
      </c>
      <c r="D51" s="1" t="str">
        <f>IF(E51&lt;&gt;E50, "REVERSAL", "")</f>
        <v/>
      </c>
    </row>
    <row r="52" spans="1:4" ht="15.75">
      <c r="A52" s="1">
        <v>50</v>
      </c>
      <c r="B52" s="1">
        <v>4</v>
      </c>
      <c r="C52" s="1">
        <v>1</v>
      </c>
      <c r="D52" s="6" t="s">
        <v>40</v>
      </c>
    </row>
    <row r="53" spans="1:4">
      <c r="A53" s="1">
        <v>51</v>
      </c>
      <c r="B53" s="1">
        <v>-4</v>
      </c>
      <c r="C53" s="1">
        <v>0</v>
      </c>
      <c r="D53" s="1" t="str">
        <f>IF(E53&lt;&gt;E52, "REVERSAL", "")</f>
        <v/>
      </c>
    </row>
    <row r="54" spans="1:4">
      <c r="A54" s="1">
        <v>52</v>
      </c>
      <c r="B54" s="1">
        <v>-4.5</v>
      </c>
      <c r="C54" s="1">
        <v>1</v>
      </c>
      <c r="D54" s="1" t="str">
        <f>IF(E54&lt;&gt;E53, "REVERSAL", "")</f>
        <v/>
      </c>
    </row>
    <row r="55" spans="1:4">
      <c r="A55" s="1">
        <v>53</v>
      </c>
      <c r="B55" s="1">
        <v>-4.5</v>
      </c>
      <c r="C55" s="1">
        <v>1</v>
      </c>
      <c r="D55" s="1" t="str">
        <f>IF(E55&lt;&gt;E54, "REVERSAL", "")</f>
        <v/>
      </c>
    </row>
    <row r="56" spans="1:4" ht="15.75">
      <c r="A56" s="1">
        <v>54</v>
      </c>
      <c r="B56" s="1">
        <v>4.5</v>
      </c>
      <c r="C56" s="1">
        <v>1</v>
      </c>
      <c r="D56" s="6" t="s">
        <v>40</v>
      </c>
    </row>
    <row r="57" spans="1:4">
      <c r="A57" s="1">
        <v>55</v>
      </c>
      <c r="B57" s="1">
        <v>4</v>
      </c>
      <c r="C57" s="1">
        <v>1</v>
      </c>
      <c r="D57" s="1" t="str">
        <f>IF(E57&lt;&gt;E56, "REVERSAL", "")</f>
        <v/>
      </c>
    </row>
    <row r="58" spans="1:4">
      <c r="A58" s="1">
        <v>56</v>
      </c>
      <c r="B58" s="1">
        <v>4</v>
      </c>
      <c r="C58" s="1">
        <v>1</v>
      </c>
      <c r="D58" s="1" t="str">
        <f>IF(E58&lt;&gt;E57, "REVERSAL", "")</f>
        <v/>
      </c>
    </row>
    <row r="59" spans="1:4">
      <c r="A59" s="1">
        <v>57</v>
      </c>
      <c r="B59" s="1">
        <v>-4</v>
      </c>
      <c r="C59" s="1">
        <v>0</v>
      </c>
      <c r="D59" s="1" t="str">
        <f>IF(E59&lt;&gt;E58, "REVERSAL", "")</f>
        <v/>
      </c>
    </row>
    <row r="60" spans="1:4">
      <c r="A60" s="1">
        <v>58</v>
      </c>
      <c r="B60" s="1">
        <v>-4.5</v>
      </c>
      <c r="C60" s="1">
        <v>1</v>
      </c>
      <c r="D60" s="1" t="str">
        <f>IF(E60&lt;&gt;E59, "REVERSAL", "")</f>
        <v/>
      </c>
    </row>
    <row r="61" spans="1:4">
      <c r="A61" s="1">
        <v>59</v>
      </c>
      <c r="B61" s="1">
        <v>-4.5</v>
      </c>
      <c r="C61" s="1">
        <v>1</v>
      </c>
      <c r="D61" s="1" t="str">
        <f>IF(E61&lt;&gt;E60, "REVERSAL", "")</f>
        <v/>
      </c>
    </row>
    <row r="62" spans="1:4" ht="15.75">
      <c r="A62" s="1">
        <v>60</v>
      </c>
      <c r="B62" s="1">
        <v>4.5</v>
      </c>
      <c r="C62" s="1">
        <v>1</v>
      </c>
      <c r="D62" s="6" t="s">
        <v>40</v>
      </c>
    </row>
    <row r="63" spans="1:4">
      <c r="A63" s="1">
        <v>61</v>
      </c>
      <c r="B63" s="1">
        <v>-4</v>
      </c>
      <c r="C63" s="1">
        <v>1</v>
      </c>
      <c r="D63" s="1" t="str">
        <f>IF(E63&lt;&gt;E62, "REVERSAL", "")</f>
        <v/>
      </c>
    </row>
    <row r="64" spans="1:4">
      <c r="A64" s="1">
        <v>62</v>
      </c>
      <c r="B64" s="1">
        <v>-4</v>
      </c>
      <c r="C64" s="1">
        <v>1</v>
      </c>
      <c r="D64" s="1" t="str">
        <f>IF(E64&lt;&gt;E63, "REVERSAL", "")</f>
        <v/>
      </c>
    </row>
    <row r="65" spans="1:4">
      <c r="A65" s="1">
        <v>63</v>
      </c>
      <c r="B65" s="1">
        <v>-4</v>
      </c>
      <c r="C65" s="1">
        <v>1</v>
      </c>
      <c r="D65" s="1" t="str">
        <f>IF(E65&lt;&gt;E64, "REVERSAL", "")</f>
        <v/>
      </c>
    </row>
    <row r="66" spans="1:4" ht="15.75">
      <c r="A66" s="1">
        <v>64</v>
      </c>
      <c r="B66" s="1">
        <v>3.5</v>
      </c>
      <c r="C66" s="1">
        <v>1</v>
      </c>
      <c r="D66" s="6" t="s">
        <v>40</v>
      </c>
    </row>
    <row r="67" spans="1:4">
      <c r="A67" s="1">
        <v>65</v>
      </c>
      <c r="B67" s="1">
        <v>3.5</v>
      </c>
      <c r="C67" s="1">
        <v>1</v>
      </c>
      <c r="D67" s="1" t="str">
        <f>IF(E67&lt;&gt;E66, "REVERSAL", "")</f>
        <v/>
      </c>
    </row>
    <row r="68" spans="1:4">
      <c r="A68" s="1">
        <v>66</v>
      </c>
      <c r="B68" s="1">
        <v>3.5</v>
      </c>
      <c r="C68" s="1">
        <v>1</v>
      </c>
      <c r="D68" s="1" t="str">
        <f>IF(E68&lt;&gt;E67, "REVERSAL", "")</f>
        <v/>
      </c>
    </row>
    <row r="69" spans="1:4">
      <c r="A69" s="1">
        <v>67</v>
      </c>
      <c r="B69" s="1">
        <v>-3</v>
      </c>
      <c r="C69" s="1">
        <v>1</v>
      </c>
      <c r="D69" s="1" t="str">
        <f>IF(E69&lt;&gt;E68, "REVERSAL", "")</f>
        <v/>
      </c>
    </row>
    <row r="70" spans="1:4" ht="15.75">
      <c r="A70" s="1">
        <v>68</v>
      </c>
      <c r="B70" s="1">
        <v>3</v>
      </c>
      <c r="C70" s="1">
        <v>1</v>
      </c>
      <c r="D70" s="6" t="s">
        <v>40</v>
      </c>
    </row>
    <row r="71" spans="1:4">
      <c r="A71" s="1">
        <v>69</v>
      </c>
      <c r="B71" s="1">
        <v>-3</v>
      </c>
      <c r="C71" s="1">
        <v>1</v>
      </c>
      <c r="D71" s="1" t="str">
        <f>IF(E71&lt;&gt;E70, "REVERSAL", "")</f>
        <v/>
      </c>
    </row>
    <row r="72" spans="1:4" ht="15.75">
      <c r="A72" s="1">
        <v>70</v>
      </c>
      <c r="B72" s="1">
        <v>2.5</v>
      </c>
      <c r="C72" s="1">
        <v>1</v>
      </c>
      <c r="D72" s="6" t="s">
        <v>40</v>
      </c>
    </row>
    <row r="73" spans="1:4">
      <c r="A73" s="1">
        <v>71</v>
      </c>
      <c r="B73" s="1">
        <v>-2.5</v>
      </c>
      <c r="C73" s="1">
        <v>1</v>
      </c>
      <c r="D73" s="1" t="str">
        <f>IF(E73&lt;&gt;E72, "REVERSAL", "")</f>
        <v/>
      </c>
    </row>
    <row r="74" spans="1:4">
      <c r="A74" s="1">
        <v>72</v>
      </c>
      <c r="B74" s="1">
        <v>-2.5</v>
      </c>
      <c r="C74" s="1">
        <v>1</v>
      </c>
      <c r="D74" s="1" t="str">
        <f>IF(E74&lt;&gt;E73, "REVERSAL", "")</f>
        <v/>
      </c>
    </row>
    <row r="75" spans="1:4" ht="15.75">
      <c r="A75" s="1">
        <v>73</v>
      </c>
      <c r="B75" s="1">
        <v>2</v>
      </c>
      <c r="C75" s="1">
        <v>1</v>
      </c>
      <c r="D75" s="6" t="s">
        <v>40</v>
      </c>
    </row>
    <row r="76" spans="1:4">
      <c r="A76" s="1">
        <v>74</v>
      </c>
      <c r="B76" s="1">
        <v>2</v>
      </c>
      <c r="C76" s="1">
        <v>1</v>
      </c>
      <c r="D76" s="1" t="str">
        <f>IF(E76&lt;&gt;E75, "REVERSAL", "")</f>
        <v/>
      </c>
    </row>
    <row r="77" spans="1:4">
      <c r="A77" s="1">
        <v>75</v>
      </c>
      <c r="B77" s="1">
        <v>2</v>
      </c>
      <c r="C77" s="1">
        <v>1</v>
      </c>
      <c r="D77" s="1" t="str">
        <f>IF(E77&lt;&gt;E76, "REVERSAL", "")</f>
        <v/>
      </c>
    </row>
    <row r="78" spans="1:4">
      <c r="A78" s="1">
        <v>76</v>
      </c>
      <c r="B78" s="1">
        <v>1.5</v>
      </c>
      <c r="C78" s="1">
        <v>1</v>
      </c>
      <c r="D78" s="1" t="str">
        <f>IF(E78&lt;&gt;E77, "REVERSAL", "")</f>
        <v/>
      </c>
    </row>
    <row r="79" spans="1:4">
      <c r="A79" s="1">
        <v>77</v>
      </c>
      <c r="B79" s="1">
        <v>1.5</v>
      </c>
      <c r="C79" s="1">
        <v>1</v>
      </c>
      <c r="D79" s="1" t="str">
        <f>IF(E79&lt;&gt;E78, "REVERSAL", "")</f>
        <v/>
      </c>
    </row>
    <row r="80" spans="1:4">
      <c r="A80" s="1">
        <v>78</v>
      </c>
      <c r="B80" s="1">
        <v>1.5</v>
      </c>
      <c r="C80" s="1">
        <v>1</v>
      </c>
      <c r="D80" s="1" t="str">
        <f>IF(E80&lt;&gt;E79, "REVERSAL", "")</f>
        <v/>
      </c>
    </row>
    <row r="81" spans="1:4">
      <c r="A81" s="1">
        <v>79</v>
      </c>
      <c r="B81" s="1">
        <v>-1</v>
      </c>
      <c r="C81" s="1">
        <v>1</v>
      </c>
      <c r="D81" s="1" t="str">
        <f>IF(E81&lt;&gt;E80, "REVERSAL", "")</f>
        <v/>
      </c>
    </row>
    <row r="82" spans="1:4">
      <c r="A82" s="1">
        <v>80</v>
      </c>
      <c r="B82" s="1">
        <v>-1</v>
      </c>
      <c r="C82" s="1">
        <v>1</v>
      </c>
      <c r="D82" s="1" t="str">
        <f>IF(E82&lt;&gt;E81, "REVERSAL", "")</f>
        <v/>
      </c>
    </row>
    <row r="83" spans="1:4">
      <c r="A83" s="1">
        <v>81</v>
      </c>
      <c r="B83" s="1">
        <v>-1</v>
      </c>
      <c r="C83" s="1">
        <v>1</v>
      </c>
      <c r="D83" s="1" t="str">
        <f>IF(E83&lt;&gt;E82, "REVERSAL", "")</f>
        <v/>
      </c>
    </row>
    <row r="84" spans="1:4" ht="15.75">
      <c r="A84" s="1">
        <v>82</v>
      </c>
      <c r="B84" s="1">
        <v>1</v>
      </c>
      <c r="C84" s="1">
        <v>0</v>
      </c>
      <c r="D84" s="6" t="s">
        <v>40</v>
      </c>
    </row>
    <row r="85" spans="1:4">
      <c r="A85" s="1">
        <v>83</v>
      </c>
      <c r="B85" s="1">
        <v>-1.5</v>
      </c>
      <c r="C85" s="1">
        <v>1</v>
      </c>
      <c r="D85" s="1" t="str">
        <f>IF(E85&lt;&gt;E84, "REVERSAL", "")</f>
        <v/>
      </c>
    </row>
    <row r="86" spans="1:4" ht="15.75">
      <c r="A86" s="1">
        <v>84</v>
      </c>
      <c r="B86" s="1">
        <v>1.5</v>
      </c>
      <c r="C86" s="1">
        <v>0</v>
      </c>
      <c r="D86" s="6" t="s">
        <v>40</v>
      </c>
    </row>
    <row r="87" spans="1:4">
      <c r="A87" s="1">
        <v>85</v>
      </c>
      <c r="B87" s="1">
        <v>-2</v>
      </c>
      <c r="C87" s="1">
        <v>1</v>
      </c>
      <c r="D87" s="1" t="str">
        <f>IF(E87&lt;&gt;E86, "REVERSAL", "")</f>
        <v/>
      </c>
    </row>
    <row r="88" spans="1:4" ht="15.75">
      <c r="A88" s="1">
        <v>86</v>
      </c>
      <c r="B88" s="1">
        <v>2</v>
      </c>
      <c r="C88" s="1">
        <v>1</v>
      </c>
      <c r="D88" s="6" t="s">
        <v>40</v>
      </c>
    </row>
    <row r="89" spans="1:4">
      <c r="A89" s="1">
        <v>87</v>
      </c>
      <c r="B89" s="1">
        <v>-2</v>
      </c>
      <c r="C89" s="1">
        <v>0</v>
      </c>
      <c r="D89" s="1" t="str">
        <f>IF(E89&lt;&gt;E88, "REVERSAL", "")</f>
        <v/>
      </c>
    </row>
    <row r="90" spans="1:4">
      <c r="A90" s="1">
        <v>88</v>
      </c>
      <c r="B90" s="1">
        <v>-2.5</v>
      </c>
      <c r="C90" s="1">
        <v>0</v>
      </c>
      <c r="D90" s="1" t="str">
        <f>IF(E90&lt;&gt;E89, "REVERSAL", "")</f>
        <v/>
      </c>
    </row>
    <row r="91" spans="1:4" ht="15.75">
      <c r="A91" s="1">
        <v>89</v>
      </c>
      <c r="B91" s="1">
        <v>3</v>
      </c>
      <c r="C91" s="1">
        <v>1</v>
      </c>
      <c r="D91" s="6" t="s">
        <v>40</v>
      </c>
    </row>
    <row r="92" spans="1:4">
      <c r="A92" s="1">
        <v>90</v>
      </c>
      <c r="B92" s="1">
        <v>3</v>
      </c>
      <c r="C92" s="1">
        <v>1</v>
      </c>
      <c r="D92" s="1" t="str">
        <f>IF(E92&lt;&gt;E91, "REVERSAL", "")</f>
        <v/>
      </c>
    </row>
    <row r="93" spans="1:4">
      <c r="A93" s="1">
        <v>91</v>
      </c>
      <c r="B93" s="1">
        <v>3</v>
      </c>
      <c r="C93" s="1">
        <v>1</v>
      </c>
      <c r="D93" s="1" t="str">
        <f>IF(E93&lt;&gt;E92, "REVERSAL", "")</f>
        <v/>
      </c>
    </row>
    <row r="94" spans="1:4">
      <c r="A94" s="1">
        <v>92</v>
      </c>
      <c r="B94" s="1">
        <v>2.5</v>
      </c>
      <c r="C94" s="1">
        <v>1</v>
      </c>
      <c r="D94" s="1" t="str">
        <f>IF(E94&lt;&gt;E93, "REVERSAL", "")</f>
        <v/>
      </c>
    </row>
    <row r="95" spans="1:4">
      <c r="A95" s="1">
        <v>93</v>
      </c>
      <c r="B95" s="1">
        <v>2.5</v>
      </c>
      <c r="C95" s="1">
        <v>0</v>
      </c>
      <c r="D95" s="1" t="str">
        <f>IF(E95&lt;&gt;E94, "REVERSAL", "")</f>
        <v/>
      </c>
    </row>
    <row r="96" spans="1:4" ht="15.75">
      <c r="A96" s="1">
        <v>94</v>
      </c>
      <c r="B96" s="1">
        <v>3</v>
      </c>
      <c r="C96" s="1">
        <v>1</v>
      </c>
      <c r="D96" s="6" t="s">
        <v>40</v>
      </c>
    </row>
    <row r="97" spans="1:4" ht="15.75">
      <c r="A97" s="1">
        <v>95</v>
      </c>
      <c r="B97" s="1">
        <v>-3</v>
      </c>
      <c r="C97" s="1">
        <v>0</v>
      </c>
      <c r="D97" s="5"/>
    </row>
    <row r="98" spans="1:4" ht="15.75">
      <c r="A98" s="1">
        <v>96</v>
      </c>
      <c r="B98" s="1">
        <v>3.5</v>
      </c>
      <c r="C98" s="1">
        <v>1</v>
      </c>
      <c r="D98" s="6" t="s">
        <v>40</v>
      </c>
    </row>
    <row r="99" spans="1:4">
      <c r="A99" s="1">
        <v>97</v>
      </c>
      <c r="B99" s="1">
        <v>3.5</v>
      </c>
      <c r="C99" s="1">
        <v>1</v>
      </c>
      <c r="D99" s="1" t="str">
        <f>IF(E99&lt;&gt;E98, "REVERSAL", "")</f>
        <v/>
      </c>
    </row>
    <row r="100" spans="1:4">
      <c r="A100" s="1">
        <v>98</v>
      </c>
      <c r="B100" s="1">
        <v>3.5</v>
      </c>
      <c r="C100" s="1">
        <v>1</v>
      </c>
      <c r="D100" s="1" t="str">
        <f>IF(E100&lt;&gt;E99, "REVERSAL", "")</f>
        <v/>
      </c>
    </row>
    <row r="101" spans="1:4">
      <c r="A101" s="1">
        <v>99</v>
      </c>
      <c r="B101" s="1">
        <v>3</v>
      </c>
      <c r="C101" s="1">
        <v>1</v>
      </c>
      <c r="D101" s="1" t="str">
        <f>IF(E101&lt;&gt;E100, "REVERSAL",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D184-E012-43CB-ABCE-B4B2E1AF9114}">
  <dimension ref="A1:C103"/>
  <sheetViews>
    <sheetView workbookViewId="0">
      <selection activeCell="B19" sqref="B19"/>
    </sheetView>
  </sheetViews>
  <sheetFormatPr defaultRowHeight="15"/>
  <cols>
    <col min="1" max="1" width="14.5703125" style="1" customWidth="1"/>
    <col min="2" max="2" width="27" style="1" customWidth="1"/>
    <col min="3" max="3" width="23.42578125" style="1" customWidth="1"/>
    <col min="4" max="16384" width="9.140625" style="1"/>
  </cols>
  <sheetData>
    <row r="1" spans="1:3">
      <c r="A1" s="4" t="s">
        <v>15</v>
      </c>
    </row>
    <row r="2" spans="1:3">
      <c r="A2" s="1">
        <v>1</v>
      </c>
    </row>
    <row r="3" spans="1:3">
      <c r="A3" s="1">
        <v>1</v>
      </c>
    </row>
    <row r="4" spans="1:3">
      <c r="A4" s="1">
        <v>1</v>
      </c>
    </row>
    <row r="5" spans="1:3">
      <c r="A5" s="1">
        <v>1</v>
      </c>
    </row>
    <row r="6" spans="1:3">
      <c r="A6" s="1">
        <v>1</v>
      </c>
    </row>
    <row r="7" spans="1:3">
      <c r="A7" s="1">
        <v>1</v>
      </c>
      <c r="B7" s="11" t="s">
        <v>34</v>
      </c>
      <c r="C7" s="11" t="s">
        <v>35</v>
      </c>
    </row>
    <row r="8" spans="1:3">
      <c r="A8" s="1">
        <v>1</v>
      </c>
      <c r="B8" s="8">
        <f>SUM(A2:A101)</f>
        <v>82</v>
      </c>
      <c r="C8" s="8">
        <f>AVERAGE(A2:A101)</f>
        <v>0.82</v>
      </c>
    </row>
    <row r="9" spans="1:3">
      <c r="A9" s="1">
        <v>1</v>
      </c>
    </row>
    <row r="10" spans="1:3">
      <c r="A10" s="1">
        <v>1</v>
      </c>
    </row>
    <row r="11" spans="1:3">
      <c r="A11" s="1">
        <v>1</v>
      </c>
    </row>
    <row r="12" spans="1:3">
      <c r="A12" s="1">
        <v>1</v>
      </c>
    </row>
    <row r="13" spans="1:3">
      <c r="A13" s="1">
        <v>1</v>
      </c>
    </row>
    <row r="14" spans="1:3">
      <c r="A14" s="1">
        <v>1</v>
      </c>
    </row>
    <row r="15" spans="1:3">
      <c r="A15" s="1">
        <v>1</v>
      </c>
    </row>
    <row r="16" spans="1:3">
      <c r="A16" s="1">
        <v>1</v>
      </c>
    </row>
    <row r="17" spans="1:1">
      <c r="A17" s="1">
        <v>1</v>
      </c>
    </row>
    <row r="18" spans="1:1">
      <c r="A18" s="1">
        <v>1</v>
      </c>
    </row>
    <row r="19" spans="1:1">
      <c r="A19" s="1">
        <v>0</v>
      </c>
    </row>
    <row r="20" spans="1:1">
      <c r="A20" s="1">
        <v>1</v>
      </c>
    </row>
    <row r="21" spans="1:1">
      <c r="A21" s="1">
        <v>1</v>
      </c>
    </row>
    <row r="22" spans="1:1">
      <c r="A22" s="1">
        <v>1</v>
      </c>
    </row>
    <row r="23" spans="1:1">
      <c r="A23" s="1">
        <v>1</v>
      </c>
    </row>
    <row r="24" spans="1:1">
      <c r="A24" s="1">
        <v>1</v>
      </c>
    </row>
    <row r="25" spans="1:1">
      <c r="A25" s="1">
        <v>0</v>
      </c>
    </row>
    <row r="26" spans="1:1">
      <c r="A26" s="1">
        <v>1</v>
      </c>
    </row>
    <row r="27" spans="1:1">
      <c r="A27" s="1">
        <v>1</v>
      </c>
    </row>
    <row r="28" spans="1:1">
      <c r="A28" s="1">
        <v>0</v>
      </c>
    </row>
    <row r="29" spans="1:1">
      <c r="A29" s="1">
        <v>1</v>
      </c>
    </row>
    <row r="30" spans="1:1">
      <c r="A30" s="1">
        <v>0</v>
      </c>
    </row>
    <row r="31" spans="1:1">
      <c r="A31" s="1">
        <v>0</v>
      </c>
    </row>
    <row r="32" spans="1:1">
      <c r="A32" s="1">
        <v>1</v>
      </c>
    </row>
    <row r="33" spans="1:1">
      <c r="A33" s="1">
        <v>1</v>
      </c>
    </row>
    <row r="34" spans="1:1">
      <c r="A34" s="1">
        <v>1</v>
      </c>
    </row>
    <row r="35" spans="1:1">
      <c r="A35" s="1">
        <v>1</v>
      </c>
    </row>
    <row r="36" spans="1:1">
      <c r="A36" s="1">
        <v>1</v>
      </c>
    </row>
    <row r="37" spans="1:1">
      <c r="A37" s="1">
        <v>1</v>
      </c>
    </row>
    <row r="38" spans="1:1">
      <c r="A38" s="1">
        <v>1</v>
      </c>
    </row>
    <row r="39" spans="1:1">
      <c r="A39" s="1">
        <v>1</v>
      </c>
    </row>
    <row r="40" spans="1:1">
      <c r="A40" s="1">
        <v>0</v>
      </c>
    </row>
    <row r="41" spans="1:1">
      <c r="A41" s="1">
        <v>0</v>
      </c>
    </row>
    <row r="42" spans="1:1">
      <c r="A42" s="1">
        <v>1</v>
      </c>
    </row>
    <row r="43" spans="1:1">
      <c r="A43" s="1">
        <v>1</v>
      </c>
    </row>
    <row r="44" spans="1:1">
      <c r="A44" s="1">
        <v>0</v>
      </c>
    </row>
    <row r="45" spans="1:1">
      <c r="A45" s="1">
        <v>0</v>
      </c>
    </row>
    <row r="46" spans="1:1">
      <c r="A46" s="1">
        <v>1</v>
      </c>
    </row>
    <row r="47" spans="1:1">
      <c r="A47" s="1">
        <v>1</v>
      </c>
    </row>
    <row r="48" spans="1:1">
      <c r="A48" s="1">
        <v>0</v>
      </c>
    </row>
    <row r="49" spans="1:1">
      <c r="A49" s="1">
        <v>1</v>
      </c>
    </row>
    <row r="50" spans="1:1">
      <c r="A50" s="1">
        <v>1</v>
      </c>
    </row>
    <row r="51" spans="1:1">
      <c r="A51" s="1">
        <v>1</v>
      </c>
    </row>
    <row r="52" spans="1:1">
      <c r="A52" s="1">
        <v>1</v>
      </c>
    </row>
    <row r="53" spans="1:1">
      <c r="A53" s="1">
        <v>0</v>
      </c>
    </row>
    <row r="54" spans="1:1">
      <c r="A54" s="1">
        <v>1</v>
      </c>
    </row>
    <row r="55" spans="1:1">
      <c r="A55" s="1">
        <v>1</v>
      </c>
    </row>
    <row r="56" spans="1:1">
      <c r="A56" s="1">
        <v>1</v>
      </c>
    </row>
    <row r="57" spans="1:1">
      <c r="A57" s="1">
        <v>1</v>
      </c>
    </row>
    <row r="58" spans="1:1">
      <c r="A58" s="1">
        <v>1</v>
      </c>
    </row>
    <row r="59" spans="1:1">
      <c r="A59" s="1">
        <v>0</v>
      </c>
    </row>
    <row r="60" spans="1:1">
      <c r="A60" s="1">
        <v>1</v>
      </c>
    </row>
    <row r="61" spans="1:1">
      <c r="A61" s="1">
        <v>1</v>
      </c>
    </row>
    <row r="62" spans="1:1">
      <c r="A62" s="1">
        <v>1</v>
      </c>
    </row>
    <row r="63" spans="1:1">
      <c r="A63" s="1">
        <v>1</v>
      </c>
    </row>
    <row r="64" spans="1:1">
      <c r="A64" s="1">
        <v>1</v>
      </c>
    </row>
    <row r="65" spans="1:1">
      <c r="A65" s="1">
        <v>1</v>
      </c>
    </row>
    <row r="66" spans="1:1">
      <c r="A66" s="1">
        <v>1</v>
      </c>
    </row>
    <row r="67" spans="1:1">
      <c r="A67" s="1">
        <v>1</v>
      </c>
    </row>
    <row r="68" spans="1:1">
      <c r="A68" s="1">
        <v>1</v>
      </c>
    </row>
    <row r="69" spans="1:1">
      <c r="A69" s="1">
        <v>1</v>
      </c>
    </row>
    <row r="70" spans="1:1">
      <c r="A70" s="1">
        <v>1</v>
      </c>
    </row>
    <row r="71" spans="1:1">
      <c r="A71" s="1">
        <v>1</v>
      </c>
    </row>
    <row r="72" spans="1:1">
      <c r="A72" s="1">
        <v>1</v>
      </c>
    </row>
    <row r="73" spans="1:1">
      <c r="A73" s="1">
        <v>1</v>
      </c>
    </row>
    <row r="74" spans="1:1">
      <c r="A74" s="1">
        <v>1</v>
      </c>
    </row>
    <row r="75" spans="1:1">
      <c r="A75" s="1">
        <v>1</v>
      </c>
    </row>
    <row r="76" spans="1:1">
      <c r="A76" s="1">
        <v>1</v>
      </c>
    </row>
    <row r="77" spans="1:1">
      <c r="A77" s="1">
        <v>1</v>
      </c>
    </row>
    <row r="78" spans="1:1">
      <c r="A78" s="1">
        <v>1</v>
      </c>
    </row>
    <row r="79" spans="1:1">
      <c r="A79" s="1">
        <v>1</v>
      </c>
    </row>
    <row r="80" spans="1:1">
      <c r="A80" s="1">
        <v>1</v>
      </c>
    </row>
    <row r="81" spans="1:1">
      <c r="A81" s="1">
        <v>1</v>
      </c>
    </row>
    <row r="82" spans="1:1">
      <c r="A82" s="1">
        <v>1</v>
      </c>
    </row>
    <row r="83" spans="1:1">
      <c r="A83" s="1">
        <v>1</v>
      </c>
    </row>
    <row r="84" spans="1:1">
      <c r="A84" s="1">
        <v>0</v>
      </c>
    </row>
    <row r="85" spans="1:1">
      <c r="A85" s="1">
        <v>1</v>
      </c>
    </row>
    <row r="86" spans="1:1">
      <c r="A86" s="1">
        <v>0</v>
      </c>
    </row>
    <row r="87" spans="1:1">
      <c r="A87" s="1">
        <v>1</v>
      </c>
    </row>
    <row r="88" spans="1:1">
      <c r="A88" s="1">
        <v>1</v>
      </c>
    </row>
    <row r="89" spans="1:1">
      <c r="A89" s="1">
        <v>0</v>
      </c>
    </row>
    <row r="90" spans="1:1">
      <c r="A90" s="1">
        <v>0</v>
      </c>
    </row>
    <row r="91" spans="1:1">
      <c r="A91" s="1">
        <v>1</v>
      </c>
    </row>
    <row r="92" spans="1:1">
      <c r="A92" s="1">
        <v>1</v>
      </c>
    </row>
    <row r="93" spans="1:1">
      <c r="A93" s="1">
        <v>1</v>
      </c>
    </row>
    <row r="94" spans="1:1">
      <c r="A94" s="1">
        <v>1</v>
      </c>
    </row>
    <row r="95" spans="1:1">
      <c r="A95" s="1">
        <v>0</v>
      </c>
    </row>
    <row r="96" spans="1:1">
      <c r="A96" s="1">
        <v>1</v>
      </c>
    </row>
    <row r="97" spans="1:1">
      <c r="A97" s="1">
        <v>0</v>
      </c>
    </row>
    <row r="98" spans="1:1">
      <c r="A98" s="1">
        <v>1</v>
      </c>
    </row>
    <row r="99" spans="1:1">
      <c r="A99" s="1">
        <v>1</v>
      </c>
    </row>
    <row r="100" spans="1:1">
      <c r="A100" s="1">
        <v>1</v>
      </c>
    </row>
    <row r="101" spans="1:1">
      <c r="A101" s="1">
        <v>1</v>
      </c>
    </row>
    <row r="103" spans="1:1">
      <c r="A10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2026-10-02T11:37:03Z</dcterms:created>
  <dcterms:modified xsi:type="dcterms:W3CDTF">2026-10-03T19:13:00Z</dcterms:modified>
  <cp:category/>
  <cp:contentStatus/>
</cp:coreProperties>
</file>